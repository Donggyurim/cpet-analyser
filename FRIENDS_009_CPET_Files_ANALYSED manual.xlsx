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onggyu/Analysis/FRIENDS/CPET updated 21052026/"/>
    </mc:Choice>
  </mc:AlternateContent>
  <xr:revisionPtr revIDLastSave="0" documentId="13_ncr:40009_{741313D0-07DD-ED4F-A3F0-8076078E3843}" xr6:coauthVersionLast="36" xr6:coauthVersionMax="36" xr10:uidLastSave="{00000000-0000-0000-0000-000000000000}"/>
  <bookViews>
    <workbookView xWindow="18900" yWindow="4320" windowWidth="28040" windowHeight="17440"/>
  </bookViews>
  <sheets>
    <sheet name="FRIENDS_009_CPET_Files_ANALYSED" sheetId="1" r:id="rId1"/>
  </sheets>
  <calcPr calcId="0"/>
</workbook>
</file>

<file path=xl/calcChain.xml><?xml version="1.0" encoding="utf-8"?>
<calcChain xmlns="http://schemas.openxmlformats.org/spreadsheetml/2006/main">
  <c r="B10" i="1" l="1"/>
  <c r="B14" i="1"/>
  <c r="B13" i="1"/>
  <c r="B12" i="1"/>
  <c r="B11" i="1"/>
  <c r="B9" i="1"/>
  <c r="B8" i="1"/>
  <c r="B7" i="1"/>
  <c r="B6" i="1"/>
  <c r="B4" i="1"/>
  <c r="B3" i="1"/>
  <c r="B2" i="1"/>
</calcChain>
</file>

<file path=xl/sharedStrings.xml><?xml version="1.0" encoding="utf-8"?>
<sst xmlns="http://schemas.openxmlformats.org/spreadsheetml/2006/main" count="522" uniqueCount="410">
  <si>
    <t>Pre-exercise</t>
  </si>
  <si>
    <t>HR</t>
  </si>
  <si>
    <t>Sys</t>
  </si>
  <si>
    <t>Dia</t>
  </si>
  <si>
    <t>Peak Values</t>
  </si>
  <si>
    <t>Load (W)</t>
  </si>
  <si>
    <t>VO2 (mL/min)</t>
  </si>
  <si>
    <t>VO2 (mL/min)/kg</t>
  </si>
  <si>
    <t>RER</t>
  </si>
  <si>
    <t>V'E</t>
  </si>
  <si>
    <t>O2 pulse</t>
  </si>
  <si>
    <t>5s AVERAGED DATA</t>
  </si>
  <si>
    <t>Time</t>
  </si>
  <si>
    <t>Load</t>
  </si>
  <si>
    <t>BR FEV%</t>
  </si>
  <si>
    <t>V'O2</t>
  </si>
  <si>
    <t>V'CO2</t>
  </si>
  <si>
    <t>V'O2/kg</t>
  </si>
  <si>
    <t>O2pulse</t>
  </si>
  <si>
    <t>EqO2</t>
  </si>
  <si>
    <t>EqCO2</t>
  </si>
  <si>
    <t>min</t>
  </si>
  <si>
    <t>W</t>
  </si>
  <si>
    <t>1/min</t>
  </si>
  <si>
    <t>L/min</t>
  </si>
  <si>
    <t>%</t>
  </si>
  <si>
    <t>mL/min</t>
  </si>
  <si>
    <t>(mL/min)/kg</t>
  </si>
  <si>
    <t>mL</t>
  </si>
  <si>
    <t xml:space="preserve"> 00:05</t>
  </si>
  <si>
    <t xml:space="preserve"> 00:15</t>
  </si>
  <si>
    <t xml:space="preserve"> 00:20</t>
  </si>
  <si>
    <t xml:space="preserve"> 00:30</t>
  </si>
  <si>
    <t xml:space="preserve"> 00:40</t>
  </si>
  <si>
    <t xml:space="preserve"> 00:50</t>
  </si>
  <si>
    <t xml:space="preserve"> 01:00</t>
  </si>
  <si>
    <t xml:space="preserve"> 01:05</t>
  </si>
  <si>
    <t xml:space="preserve"> 01:10</t>
  </si>
  <si>
    <t xml:space="preserve"> 01:15</t>
  </si>
  <si>
    <t xml:space="preserve"> 01:20</t>
  </si>
  <si>
    <t xml:space="preserve"> 01:30</t>
  </si>
  <si>
    <t xml:space="preserve"> 01:35</t>
  </si>
  <si>
    <t xml:space="preserve"> 01:45</t>
  </si>
  <si>
    <t xml:space="preserve"> 01:50</t>
  </si>
  <si>
    <t xml:space="preserve"> 01:55</t>
  </si>
  <si>
    <t xml:space="preserve"> 02:00</t>
  </si>
  <si>
    <t xml:space="preserve"> 02:10</t>
  </si>
  <si>
    <t xml:space="preserve"> 02:15</t>
  </si>
  <si>
    <t xml:space="preserve"> 02:20</t>
  </si>
  <si>
    <t xml:space="preserve"> 02:25</t>
  </si>
  <si>
    <t xml:space="preserve"> 02:35</t>
  </si>
  <si>
    <t xml:space="preserve"> 02:40</t>
  </si>
  <si>
    <t xml:space="preserve"> 02:45</t>
  </si>
  <si>
    <t xml:space="preserve"> 02:50</t>
  </si>
  <si>
    <t xml:space="preserve"> 02:54</t>
  </si>
  <si>
    <t xml:space="preserve"> 03:00</t>
  </si>
  <si>
    <t xml:space="preserve"> 03:05</t>
  </si>
  <si>
    <t xml:space="preserve"> 03:10</t>
  </si>
  <si>
    <t xml:space="preserve"> 03:15</t>
  </si>
  <si>
    <t xml:space="preserve"> 03:20</t>
  </si>
  <si>
    <t xml:space="preserve"> 03:25</t>
  </si>
  <si>
    <t xml:space="preserve"> 03:30</t>
  </si>
  <si>
    <t xml:space="preserve"> 03:35</t>
  </si>
  <si>
    <t xml:space="preserve"> 03:40</t>
  </si>
  <si>
    <t xml:space="preserve"> 03:45</t>
  </si>
  <si>
    <t xml:space="preserve"> 03:50</t>
  </si>
  <si>
    <t xml:space="preserve"> 03:55</t>
  </si>
  <si>
    <t xml:space="preserve"> 04:00</t>
  </si>
  <si>
    <t xml:space="preserve"> 04:05</t>
  </si>
  <si>
    <t xml:space="preserve"> 04:10</t>
  </si>
  <si>
    <t xml:space="preserve"> 04:15</t>
  </si>
  <si>
    <t xml:space="preserve"> 04:20</t>
  </si>
  <si>
    <t xml:space="preserve"> 04:30</t>
  </si>
  <si>
    <t xml:space="preserve"> 04:35</t>
  </si>
  <si>
    <t xml:space="preserve"> 04:40</t>
  </si>
  <si>
    <t xml:space="preserve"> 04:45</t>
  </si>
  <si>
    <t xml:space="preserve"> 04:50</t>
  </si>
  <si>
    <t xml:space="preserve"> 04:55</t>
  </si>
  <si>
    <t xml:space="preserve"> 05:00</t>
  </si>
  <si>
    <t xml:space="preserve"> 05:05</t>
  </si>
  <si>
    <t xml:space="preserve"> 05:10</t>
  </si>
  <si>
    <t xml:space="preserve"> 05:15</t>
  </si>
  <si>
    <t xml:space="preserve"> 05:20</t>
  </si>
  <si>
    <t xml:space="preserve"> 05:25</t>
  </si>
  <si>
    <t xml:space="preserve"> 05:30</t>
  </si>
  <si>
    <t xml:space="preserve"> 05:35</t>
  </si>
  <si>
    <t xml:space="preserve"> 05:40</t>
  </si>
  <si>
    <t xml:space="preserve"> 05:45</t>
  </si>
  <si>
    <t xml:space="preserve"> 05:50</t>
  </si>
  <si>
    <t xml:space="preserve"> 05:55</t>
  </si>
  <si>
    <t xml:space="preserve"> 06:00</t>
  </si>
  <si>
    <t xml:space="preserve"> 06:05</t>
  </si>
  <si>
    <t xml:space="preserve"> 06:10</t>
  </si>
  <si>
    <t xml:space="preserve"> 06:15</t>
  </si>
  <si>
    <t xml:space="preserve"> 06:25</t>
  </si>
  <si>
    <t xml:space="preserve"> 06:30</t>
  </si>
  <si>
    <t xml:space="preserve"> 06:35</t>
  </si>
  <si>
    <t xml:space="preserve"> 06:40</t>
  </si>
  <si>
    <t xml:space="preserve"> 06:45</t>
  </si>
  <si>
    <t xml:space="preserve"> 06:50</t>
  </si>
  <si>
    <t xml:space="preserve"> 06:55</t>
  </si>
  <si>
    <t xml:space="preserve"> 07:00</t>
  </si>
  <si>
    <t xml:space="preserve"> 07:05</t>
  </si>
  <si>
    <t xml:space="preserve"> 07:10</t>
  </si>
  <si>
    <t xml:space="preserve"> 07:15</t>
  </si>
  <si>
    <t xml:space="preserve"> 07:20</t>
  </si>
  <si>
    <t xml:space="preserve"> 07:25</t>
  </si>
  <si>
    <t xml:space="preserve"> 07:30</t>
  </si>
  <si>
    <t xml:space="preserve"> 07:35</t>
  </si>
  <si>
    <t xml:space="preserve"> 07:40</t>
  </si>
  <si>
    <t xml:space="preserve"> 07:45</t>
  </si>
  <si>
    <t xml:space="preserve"> 07:50</t>
  </si>
  <si>
    <t xml:space="preserve"> 07:55</t>
  </si>
  <si>
    <t xml:space="preserve"> 08:00</t>
  </si>
  <si>
    <t xml:space="preserve"> 08:05</t>
  </si>
  <si>
    <t xml:space="preserve"> 08:10</t>
  </si>
  <si>
    <t xml:space="preserve"> 08:15</t>
  </si>
  <si>
    <t xml:space="preserve"> 08:20</t>
  </si>
  <si>
    <t xml:space="preserve"> 08:25</t>
  </si>
  <si>
    <t xml:space="preserve"> 08:30</t>
  </si>
  <si>
    <t xml:space="preserve"> 08:35</t>
  </si>
  <si>
    <t xml:space="preserve"> 08:40</t>
  </si>
  <si>
    <t xml:space="preserve"> 08:45</t>
  </si>
  <si>
    <t xml:space="preserve"> 08:50</t>
  </si>
  <si>
    <t xml:space="preserve"> 08:55</t>
  </si>
  <si>
    <t xml:space="preserve"> 09:00</t>
  </si>
  <si>
    <t xml:space="preserve"> 09:05</t>
  </si>
  <si>
    <t xml:space="preserve"> 09:10</t>
  </si>
  <si>
    <t xml:space="preserve"> 09:15</t>
  </si>
  <si>
    <t xml:space="preserve"> 09:20</t>
  </si>
  <si>
    <t xml:space="preserve"> 09:25</t>
  </si>
  <si>
    <t xml:space="preserve"> 09:30</t>
  </si>
  <si>
    <t xml:space="preserve"> 09:35</t>
  </si>
  <si>
    <t xml:space="preserve"> 09:40</t>
  </si>
  <si>
    <t xml:space="preserve"> 09:45</t>
  </si>
  <si>
    <t xml:space="preserve"> 09:50</t>
  </si>
  <si>
    <t xml:space="preserve"> 09:55</t>
  </si>
  <si>
    <t xml:space="preserve"> 10:00</t>
  </si>
  <si>
    <t xml:space="preserve"> 10:05</t>
  </si>
  <si>
    <t xml:space="preserve"> 10:10</t>
  </si>
  <si>
    <t xml:space="preserve"> 10:15</t>
  </si>
  <si>
    <t xml:space="preserve"> 10:20</t>
  </si>
  <si>
    <t xml:space="preserve"> 10:25</t>
  </si>
  <si>
    <t xml:space="preserve"> 10:30</t>
  </si>
  <si>
    <t xml:space="preserve"> 10:35</t>
  </si>
  <si>
    <t xml:space="preserve"> 10:40</t>
  </si>
  <si>
    <t xml:space="preserve"> 10:45</t>
  </si>
  <si>
    <t xml:space="preserve"> 10:50</t>
  </si>
  <si>
    <t xml:space="preserve"> 10:55</t>
  </si>
  <si>
    <t xml:space="preserve"> 11:00</t>
  </si>
  <si>
    <t xml:space="preserve"> 11:05</t>
  </si>
  <si>
    <t xml:space="preserve"> 11:10</t>
  </si>
  <si>
    <t xml:space="preserve"> 11:15</t>
  </si>
  <si>
    <t xml:space="preserve"> 11:20</t>
  </si>
  <si>
    <t xml:space="preserve"> 11:25</t>
  </si>
  <si>
    <t xml:space="preserve"> 11:30</t>
  </si>
  <si>
    <t xml:space="preserve"> 11:35</t>
  </si>
  <si>
    <t xml:space="preserve"> 11:40</t>
  </si>
  <si>
    <t xml:space="preserve"> 11:45</t>
  </si>
  <si>
    <t xml:space="preserve"> 11:50</t>
  </si>
  <si>
    <t xml:space="preserve"> 11:55</t>
  </si>
  <si>
    <t xml:space="preserve"> 12:00</t>
  </si>
  <si>
    <t xml:space="preserve"> 12:05</t>
  </si>
  <si>
    <t xml:space="preserve"> 12:10</t>
  </si>
  <si>
    <t xml:space="preserve"> 12:15</t>
  </si>
  <si>
    <t xml:space="preserve"> 12:20</t>
  </si>
  <si>
    <t xml:space="preserve"> 12:25</t>
  </si>
  <si>
    <t xml:space="preserve"> 12:30</t>
  </si>
  <si>
    <t xml:space="preserve"> 12:35</t>
  </si>
  <si>
    <t xml:space="preserve"> 12:40</t>
  </si>
  <si>
    <t xml:space="preserve"> 12:45</t>
  </si>
  <si>
    <t xml:space="preserve"> 12:50</t>
  </si>
  <si>
    <t xml:space="preserve"> 12:55</t>
  </si>
  <si>
    <t xml:space="preserve"> 13:00</t>
  </si>
  <si>
    <t xml:space="preserve"> 13:05</t>
  </si>
  <si>
    <t xml:space="preserve"> 13:10</t>
  </si>
  <si>
    <t xml:space="preserve"> 13:15</t>
  </si>
  <si>
    <t xml:space="preserve"> 13:20</t>
  </si>
  <si>
    <t xml:space="preserve"> 13:25</t>
  </si>
  <si>
    <t xml:space="preserve"> 13:30</t>
  </si>
  <si>
    <t xml:space="preserve"> 13:35</t>
  </si>
  <si>
    <t xml:space="preserve"> 13:40</t>
  </si>
  <si>
    <t xml:space="preserve"> 13:45</t>
  </si>
  <si>
    <t xml:space="preserve"> 13:50</t>
  </si>
  <si>
    <t xml:space="preserve"> 13:55</t>
  </si>
  <si>
    <t xml:space="preserve"> 14:00</t>
  </si>
  <si>
    <t xml:space="preserve"> 14:05</t>
  </si>
  <si>
    <t xml:space="preserve"> 14:20</t>
  </si>
  <si>
    <t xml:space="preserve"> 14:35</t>
  </si>
  <si>
    <t xml:space="preserve"> 14:50</t>
  </si>
  <si>
    <t xml:space="preserve"> 15:05</t>
  </si>
  <si>
    <t xml:space="preserve"> 15:20</t>
  </si>
  <si>
    <t xml:space="preserve"> 15:35</t>
  </si>
  <si>
    <t xml:space="preserve"> 15:55</t>
  </si>
  <si>
    <t xml:space="preserve"> 16:10</t>
  </si>
  <si>
    <t xml:space="preserve"> 16:25</t>
  </si>
  <si>
    <t xml:space="preserve"> 16:40</t>
  </si>
  <si>
    <t>BP DATA</t>
  </si>
  <si>
    <t>SpO2</t>
  </si>
  <si>
    <t>Psys</t>
  </si>
  <si>
    <t>Pdia</t>
  </si>
  <si>
    <t>mmHg</t>
  </si>
  <si>
    <t xml:space="preserve"> 01:47</t>
  </si>
  <si>
    <t xml:space="preserve"> 02:30</t>
  </si>
  <si>
    <t xml:space="preserve"> 14:30</t>
  </si>
  <si>
    <t xml:space="preserve"> 15:00</t>
  </si>
  <si>
    <t xml:space="preserve"> 15:30</t>
  </si>
  <si>
    <t xml:space="preserve"> 16:00</t>
  </si>
  <si>
    <t xml:space="preserve"> 16:30</t>
  </si>
  <si>
    <t xml:space="preserve"> 17:00</t>
  </si>
  <si>
    <t>BREATH x BREATH DATA</t>
  </si>
  <si>
    <t xml:space="preserve"> 00:03</t>
  </si>
  <si>
    <t xml:space="preserve"> 00:12</t>
  </si>
  <si>
    <t xml:space="preserve"> 00:19</t>
  </si>
  <si>
    <t xml:space="preserve"> 00:28</t>
  </si>
  <si>
    <t xml:space="preserve"> 00:37</t>
  </si>
  <si>
    <t xml:space="preserve"> 00:47</t>
  </si>
  <si>
    <t xml:space="preserve"> 00:56</t>
  </si>
  <si>
    <t xml:space="preserve"> 01:01</t>
  </si>
  <si>
    <t xml:space="preserve"> 01:06</t>
  </si>
  <si>
    <t xml:space="preserve"> 01:11</t>
  </si>
  <si>
    <t xml:space="preserve"> 01:28</t>
  </si>
  <si>
    <t xml:space="preserve"> 01:34</t>
  </si>
  <si>
    <t xml:space="preserve"> 01:40</t>
  </si>
  <si>
    <t xml:space="preserve"> 01:54</t>
  </si>
  <si>
    <t xml:space="preserve"> 01:59</t>
  </si>
  <si>
    <t xml:space="preserve"> 02:07</t>
  </si>
  <si>
    <t xml:space="preserve"> 02:11</t>
  </si>
  <si>
    <t xml:space="preserve"> 02:14</t>
  </si>
  <si>
    <t xml:space="preserve"> 02:17</t>
  </si>
  <si>
    <t xml:space="preserve"> 02:19</t>
  </si>
  <si>
    <t xml:space="preserve"> 02:31</t>
  </si>
  <si>
    <t xml:space="preserve"> 02:37</t>
  </si>
  <si>
    <t xml:space="preserve"> 02:39</t>
  </si>
  <si>
    <t xml:space="preserve"> 02:49</t>
  </si>
  <si>
    <t xml:space="preserve"> 02:51</t>
  </si>
  <si>
    <t xml:space="preserve"> 02:58</t>
  </si>
  <si>
    <t xml:space="preserve"> 03:01</t>
  </si>
  <si>
    <t xml:space="preserve"> 03:08</t>
  </si>
  <si>
    <t xml:space="preserve"> 03:13</t>
  </si>
  <si>
    <t xml:space="preserve"> 03:17</t>
  </si>
  <si>
    <t xml:space="preserve"> 03:21</t>
  </si>
  <si>
    <t xml:space="preserve"> 03:24</t>
  </si>
  <si>
    <t xml:space="preserve"> 03:27</t>
  </si>
  <si>
    <t xml:space="preserve"> 03:32</t>
  </si>
  <si>
    <t xml:space="preserve"> 03:36</t>
  </si>
  <si>
    <t xml:space="preserve"> 03:43</t>
  </si>
  <si>
    <t xml:space="preserve"> 03:46</t>
  </si>
  <si>
    <t xml:space="preserve"> 03:53</t>
  </si>
  <si>
    <t xml:space="preserve"> 03:56</t>
  </si>
  <si>
    <t xml:space="preserve"> 04:03</t>
  </si>
  <si>
    <t xml:space="preserve"> 04:09</t>
  </si>
  <si>
    <t xml:space="preserve"> 04:12</t>
  </si>
  <si>
    <t xml:space="preserve"> 04:19</t>
  </si>
  <si>
    <t xml:space="preserve"> 04:25</t>
  </si>
  <si>
    <t xml:space="preserve"> 04:29</t>
  </si>
  <si>
    <t xml:space="preserve"> 04:32</t>
  </si>
  <si>
    <t xml:space="preserve"> 04:37</t>
  </si>
  <si>
    <t xml:space="preserve"> 04:43</t>
  </si>
  <si>
    <t xml:space="preserve"> 04:47</t>
  </si>
  <si>
    <t xml:space="preserve"> 04:54</t>
  </si>
  <si>
    <t xml:space="preserve"> 04:57</t>
  </si>
  <si>
    <t xml:space="preserve"> 05:01</t>
  </si>
  <si>
    <t xml:space="preserve"> 05:07</t>
  </si>
  <si>
    <t xml:space="preserve"> 05:11</t>
  </si>
  <si>
    <t xml:space="preserve"> 05:13</t>
  </si>
  <si>
    <t xml:space="preserve"> 05:18</t>
  </si>
  <si>
    <t xml:space="preserve"> 05:22</t>
  </si>
  <si>
    <t xml:space="preserve"> 05:26</t>
  </si>
  <si>
    <t xml:space="preserve"> 05:34</t>
  </si>
  <si>
    <t xml:space="preserve"> 05:39</t>
  </si>
  <si>
    <t xml:space="preserve"> 05:44</t>
  </si>
  <si>
    <t xml:space="preserve"> 05:47</t>
  </si>
  <si>
    <t xml:space="preserve"> 05:51</t>
  </si>
  <si>
    <t xml:space="preserve"> 05:56</t>
  </si>
  <si>
    <t xml:space="preserve"> 06:01</t>
  </si>
  <si>
    <t xml:space="preserve"> 06:07</t>
  </si>
  <si>
    <t xml:space="preserve"> 06:14</t>
  </si>
  <si>
    <t xml:space="preserve"> 06:21</t>
  </si>
  <si>
    <t xml:space="preserve"> 06:31</t>
  </si>
  <si>
    <t xml:space="preserve"> 06:36</t>
  </si>
  <si>
    <t xml:space="preserve"> 06:43</t>
  </si>
  <si>
    <t xml:space="preserve"> 06:47</t>
  </si>
  <si>
    <t xml:space="preserve"> 06:51</t>
  </si>
  <si>
    <t xml:space="preserve"> 06:57</t>
  </si>
  <si>
    <t xml:space="preserve"> 07:03</t>
  </si>
  <si>
    <t xml:space="preserve"> 07:09</t>
  </si>
  <si>
    <t xml:space="preserve"> 07:14</t>
  </si>
  <si>
    <t xml:space="preserve"> 07:19</t>
  </si>
  <si>
    <t xml:space="preserve"> 07:22</t>
  </si>
  <si>
    <t xml:space="preserve"> 07:33</t>
  </si>
  <si>
    <t xml:space="preserve"> 07:38</t>
  </si>
  <si>
    <t xml:space="preserve"> 07:42</t>
  </si>
  <si>
    <t xml:space="preserve"> 07:46</t>
  </si>
  <si>
    <t xml:space="preserve"> 07:51</t>
  </si>
  <si>
    <t xml:space="preserve"> 07:56</t>
  </si>
  <si>
    <t xml:space="preserve"> 08:04</t>
  </si>
  <si>
    <t xml:space="preserve"> 08:06</t>
  </si>
  <si>
    <t xml:space="preserve"> 08:08</t>
  </si>
  <si>
    <t xml:space="preserve"> 08:11</t>
  </si>
  <si>
    <t xml:space="preserve"> 08:18</t>
  </si>
  <si>
    <t xml:space="preserve"> 08:22</t>
  </si>
  <si>
    <t xml:space="preserve"> 08:26</t>
  </si>
  <si>
    <t xml:space="preserve"> 08:29</t>
  </si>
  <si>
    <t xml:space="preserve"> 08:33</t>
  </si>
  <si>
    <t xml:space="preserve"> 08:36</t>
  </si>
  <si>
    <t xml:space="preserve"> 08:41</t>
  </si>
  <si>
    <t xml:space="preserve"> 08:44</t>
  </si>
  <si>
    <t xml:space="preserve"> 08:47</t>
  </si>
  <si>
    <t xml:space="preserve"> 08:51</t>
  </si>
  <si>
    <t xml:space="preserve"> 08:59</t>
  </si>
  <si>
    <t xml:space="preserve"> 09:03</t>
  </si>
  <si>
    <t xml:space="preserve"> 09:07</t>
  </si>
  <si>
    <t xml:space="preserve"> 09:11</t>
  </si>
  <si>
    <t xml:space="preserve"> 09:18</t>
  </si>
  <si>
    <t xml:space="preserve"> 09:22</t>
  </si>
  <si>
    <t xml:space="preserve"> 09:29</t>
  </si>
  <si>
    <t xml:space="preserve"> 09:32</t>
  </si>
  <si>
    <t xml:space="preserve"> 09:36</t>
  </si>
  <si>
    <t xml:space="preserve"> 09:38</t>
  </si>
  <si>
    <t xml:space="preserve"> 09:41</t>
  </si>
  <si>
    <t xml:space="preserve"> 09:44</t>
  </si>
  <si>
    <t xml:space="preserve"> 09:48</t>
  </si>
  <si>
    <t xml:space="preserve"> 09:52</t>
  </si>
  <si>
    <t xml:space="preserve"> 09:58</t>
  </si>
  <si>
    <t xml:space="preserve"> 10:01</t>
  </si>
  <si>
    <t xml:space="preserve"> 10:04</t>
  </si>
  <si>
    <t xml:space="preserve"> 10:07</t>
  </si>
  <si>
    <t xml:space="preserve"> 10:13</t>
  </si>
  <si>
    <t xml:space="preserve"> 10:18</t>
  </si>
  <si>
    <t xml:space="preserve"> 10:21</t>
  </si>
  <si>
    <t xml:space="preserve"> 10:24</t>
  </si>
  <si>
    <t xml:space="preserve"> 10:28</t>
  </si>
  <si>
    <t xml:space="preserve"> 10:31</t>
  </si>
  <si>
    <t xml:space="preserve"> 10:34</t>
  </si>
  <si>
    <t xml:space="preserve"> 10:37</t>
  </si>
  <si>
    <t xml:space="preserve"> 10:43</t>
  </si>
  <si>
    <t xml:space="preserve"> 10:48</t>
  </si>
  <si>
    <t xml:space="preserve"> 10:53</t>
  </si>
  <si>
    <t xml:space="preserve"> 10:56</t>
  </si>
  <si>
    <t xml:space="preserve"> 10:58</t>
  </si>
  <si>
    <t xml:space="preserve"> 11:01</t>
  </si>
  <si>
    <t xml:space="preserve"> 11:03</t>
  </si>
  <si>
    <t xml:space="preserve"> 11:08</t>
  </si>
  <si>
    <t xml:space="preserve"> 11:11</t>
  </si>
  <si>
    <t xml:space="preserve"> 11:14</t>
  </si>
  <si>
    <t xml:space="preserve"> 11:16</t>
  </si>
  <si>
    <t xml:space="preserve"> 11:18</t>
  </si>
  <si>
    <t xml:space="preserve"> 11:22</t>
  </si>
  <si>
    <t xml:space="preserve"> 11:27</t>
  </si>
  <si>
    <t xml:space="preserve"> 11:29</t>
  </si>
  <si>
    <t xml:space="preserve"> 11:31</t>
  </si>
  <si>
    <t xml:space="preserve"> 11:33</t>
  </si>
  <si>
    <t xml:space="preserve"> 11:34</t>
  </si>
  <si>
    <t xml:space="preserve"> 11:36</t>
  </si>
  <si>
    <t xml:space="preserve"> 11:38</t>
  </si>
  <si>
    <t xml:space="preserve"> 11:41</t>
  </si>
  <si>
    <t xml:space="preserve"> 11:43</t>
  </si>
  <si>
    <t xml:space="preserve"> 11:46</t>
  </si>
  <si>
    <t xml:space="preserve"> 11:48</t>
  </si>
  <si>
    <t xml:space="preserve"> 11:51</t>
  </si>
  <si>
    <t xml:space="preserve"> 11:53</t>
  </si>
  <si>
    <t xml:space="preserve"> 11:57</t>
  </si>
  <si>
    <t xml:space="preserve"> 11:59</t>
  </si>
  <si>
    <t xml:space="preserve"> 12:02</t>
  </si>
  <si>
    <t xml:space="preserve"> 12:04</t>
  </si>
  <si>
    <t xml:space="preserve"> 12:06</t>
  </si>
  <si>
    <t xml:space="preserve"> 12:08</t>
  </si>
  <si>
    <t xml:space="preserve"> 12:11</t>
  </si>
  <si>
    <t xml:space="preserve"> 12:13</t>
  </si>
  <si>
    <t xml:space="preserve"> 12:18</t>
  </si>
  <si>
    <t xml:space="preserve"> 12:23</t>
  </si>
  <si>
    <t xml:space="preserve"> 12:24</t>
  </si>
  <si>
    <t xml:space="preserve"> 12:26</t>
  </si>
  <si>
    <t xml:space="preserve"> 12:29</t>
  </si>
  <si>
    <t xml:space="preserve"> 12:31</t>
  </si>
  <si>
    <t xml:space="preserve"> 12:33</t>
  </si>
  <si>
    <t xml:space="preserve"> 12:38</t>
  </si>
  <si>
    <t xml:space="preserve"> 12:43</t>
  </si>
  <si>
    <t xml:space="preserve"> 12:46</t>
  </si>
  <si>
    <t xml:space="preserve"> 12:49</t>
  </si>
  <si>
    <t xml:space="preserve"> 12:51</t>
  </si>
  <si>
    <t xml:space="preserve"> 12:54</t>
  </si>
  <si>
    <t xml:space="preserve"> 12:56</t>
  </si>
  <si>
    <t xml:space="preserve"> 12:59</t>
  </si>
  <si>
    <t xml:space="preserve"> 13:02</t>
  </si>
  <si>
    <t xml:space="preserve"> 13:04</t>
  </si>
  <si>
    <t xml:space="preserve"> 13:12</t>
  </si>
  <si>
    <t xml:space="preserve"> 13:18</t>
  </si>
  <si>
    <t xml:space="preserve"> 13:21</t>
  </si>
  <si>
    <t xml:space="preserve"> 13:24</t>
  </si>
  <si>
    <t xml:space="preserve"> 13:27</t>
  </si>
  <si>
    <t xml:space="preserve"> 13:32</t>
  </si>
  <si>
    <t xml:space="preserve"> 13:36</t>
  </si>
  <si>
    <t xml:space="preserve"> 13:38</t>
  </si>
  <si>
    <t xml:space="preserve"> 13:41</t>
  </si>
  <si>
    <t xml:space="preserve"> 13:44</t>
  </si>
  <si>
    <t xml:space="preserve"> 13:47</t>
  </si>
  <si>
    <t xml:space="preserve"> 13:53</t>
  </si>
  <si>
    <t xml:space="preserve"> 13:56</t>
  </si>
  <si>
    <t xml:space="preserve"> 14:16</t>
  </si>
  <si>
    <t xml:space="preserve"> 14:32</t>
  </si>
  <si>
    <t xml:space="preserve"> 14:47</t>
  </si>
  <si>
    <t xml:space="preserve"> 15:03</t>
  </si>
  <si>
    <t xml:space="preserve"> 15:19</t>
  </si>
  <si>
    <t xml:space="preserve"> 15:50</t>
  </si>
  <si>
    <t xml:space="preserve"> 16:06</t>
  </si>
  <si>
    <t xml:space="preserve"> 16:22</t>
  </si>
  <si>
    <t xml:space="preserve"> 16:38</t>
  </si>
  <si>
    <t xml:space="preserve"> 16:53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</si>
</sst>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7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  <c r="B2">
        <f>AVERAGE(C19:C35)</f>
        <v>70.5625</v>
      </c>
    </row>
    <row r="3" spans="1:2" x14ac:dyDescent="0.2">
      <c r="A3" t="s">
        <v>2</v>
      </c>
      <c r="B3">
        <f>E195</f>
        <v>126</v>
      </c>
    </row>
    <row r="4" spans="1:2" x14ac:dyDescent="0.2">
      <c r="A4" t="s">
        <v>3</v>
      </c>
      <c r="B4">
        <f>F195</f>
        <v>84</v>
      </c>
    </row>
    <row r="5" spans="1:2" x14ac:dyDescent="0.2">
      <c r="A5" t="s">
        <v>4</v>
      </c>
    </row>
    <row r="6" spans="1:2" x14ac:dyDescent="0.2">
      <c r="A6" t="s">
        <v>1</v>
      </c>
      <c r="B6">
        <f>MAX(C232:C419)</f>
        <v>150</v>
      </c>
    </row>
    <row r="7" spans="1:2" x14ac:dyDescent="0.2">
      <c r="A7" t="s">
        <v>5</v>
      </c>
      <c r="B7">
        <f>MAX(B232:B477)</f>
        <v>136</v>
      </c>
    </row>
    <row r="8" spans="1:2" x14ac:dyDescent="0.2">
      <c r="A8" t="s">
        <v>6</v>
      </c>
      <c r="B8">
        <f>MAX(G19:G150)</f>
        <v>1610</v>
      </c>
    </row>
    <row r="9" spans="1:2" x14ac:dyDescent="0.2">
      <c r="A9" t="s">
        <v>7</v>
      </c>
      <c r="B9">
        <f>MAX(K19:K150)</f>
        <v>22.333333329999999</v>
      </c>
    </row>
    <row r="10" spans="1:2" x14ac:dyDescent="0.2">
      <c r="A10" t="s">
        <v>8</v>
      </c>
      <c r="B10">
        <f>AVERAGE(I145:I150)</f>
        <v>1.3099999999999998</v>
      </c>
    </row>
    <row r="11" spans="1:2" x14ac:dyDescent="0.2">
      <c r="A11" t="s">
        <v>9</v>
      </c>
      <c r="B11">
        <f>AVERAGE(D145:D150)</f>
        <v>76.333333333333329</v>
      </c>
    </row>
    <row r="12" spans="1:2" x14ac:dyDescent="0.2">
      <c r="A12" t="s">
        <v>10</v>
      </c>
      <c r="B12">
        <f>AVERAGE(L145:L150)</f>
        <v>10.799999999999999</v>
      </c>
    </row>
    <row r="13" spans="1:2" x14ac:dyDescent="0.2">
      <c r="A13" t="s">
        <v>2</v>
      </c>
      <c r="B13">
        <f>E216</f>
        <v>174</v>
      </c>
    </row>
    <row r="14" spans="1:2" x14ac:dyDescent="0.2">
      <c r="A14" t="s">
        <v>3</v>
      </c>
      <c r="B14">
        <f>F216</f>
        <v>88</v>
      </c>
    </row>
    <row r="16" spans="1:2" x14ac:dyDescent="0.2">
      <c r="A16" t="s">
        <v>11</v>
      </c>
    </row>
    <row r="17" spans="1:14" x14ac:dyDescent="0.2">
      <c r="A17" t="s">
        <v>12</v>
      </c>
      <c r="B17" t="s">
        <v>13</v>
      </c>
      <c r="C17" t="s">
        <v>1</v>
      </c>
      <c r="D17" t="s">
        <v>9</v>
      </c>
      <c r="E17" t="s">
        <v>14</v>
      </c>
      <c r="F17" t="s">
        <v>15</v>
      </c>
      <c r="H17" t="s">
        <v>16</v>
      </c>
      <c r="I17" t="s">
        <v>8</v>
      </c>
      <c r="J17" t="s">
        <v>17</v>
      </c>
      <c r="L17" t="s">
        <v>18</v>
      </c>
      <c r="M17" t="s">
        <v>19</v>
      </c>
      <c r="N17" t="s">
        <v>20</v>
      </c>
    </row>
    <row r="18" spans="1:14" x14ac:dyDescent="0.2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H18" t="s">
        <v>26</v>
      </c>
      <c r="J18" t="s">
        <v>27</v>
      </c>
      <c r="L18" t="s">
        <v>28</v>
      </c>
    </row>
    <row r="19" spans="1:14" x14ac:dyDescent="0.2">
      <c r="A19" t="s">
        <v>29</v>
      </c>
      <c r="B19">
        <v>0</v>
      </c>
      <c r="D19">
        <v>18</v>
      </c>
      <c r="F19">
        <v>226</v>
      </c>
      <c r="G19">
        <v>226</v>
      </c>
      <c r="H19">
        <v>286</v>
      </c>
      <c r="I19">
        <v>1.26</v>
      </c>
      <c r="J19">
        <v>3.1</v>
      </c>
      <c r="K19">
        <v>3.1</v>
      </c>
      <c r="M19">
        <v>68.8</v>
      </c>
      <c r="N19">
        <v>54.4</v>
      </c>
    </row>
    <row r="20" spans="1:14" x14ac:dyDescent="0.2">
      <c r="A20" t="s">
        <v>30</v>
      </c>
      <c r="B20">
        <v>0</v>
      </c>
      <c r="C20">
        <v>75</v>
      </c>
      <c r="D20">
        <v>9</v>
      </c>
      <c r="F20">
        <v>177</v>
      </c>
      <c r="G20">
        <v>201.5</v>
      </c>
      <c r="H20">
        <v>213</v>
      </c>
      <c r="I20">
        <v>1.2</v>
      </c>
      <c r="J20">
        <v>2.5</v>
      </c>
      <c r="K20">
        <v>2.8</v>
      </c>
      <c r="L20">
        <v>2.4</v>
      </c>
      <c r="M20">
        <v>47.5</v>
      </c>
      <c r="N20">
        <v>39.5</v>
      </c>
    </row>
    <row r="21" spans="1:14" x14ac:dyDescent="0.2">
      <c r="A21" t="s">
        <v>31</v>
      </c>
      <c r="B21">
        <v>0</v>
      </c>
      <c r="C21">
        <v>72</v>
      </c>
      <c r="D21">
        <v>7</v>
      </c>
      <c r="F21">
        <v>122</v>
      </c>
      <c r="G21">
        <v>175</v>
      </c>
      <c r="H21">
        <v>138</v>
      </c>
      <c r="I21">
        <v>1.1299999999999999</v>
      </c>
      <c r="J21">
        <v>1.7</v>
      </c>
      <c r="K21">
        <v>2.4333333330000002</v>
      </c>
      <c r="L21">
        <v>1.7</v>
      </c>
      <c r="M21">
        <v>45.9</v>
      </c>
      <c r="N21">
        <v>40.700000000000003</v>
      </c>
    </row>
    <row r="22" spans="1:14" x14ac:dyDescent="0.2">
      <c r="A22" t="s">
        <v>32</v>
      </c>
      <c r="B22">
        <v>0</v>
      </c>
      <c r="C22">
        <v>67</v>
      </c>
      <c r="D22">
        <v>13</v>
      </c>
      <c r="F22">
        <v>251</v>
      </c>
      <c r="G22">
        <v>194</v>
      </c>
      <c r="H22">
        <v>299</v>
      </c>
      <c r="I22">
        <v>1.19</v>
      </c>
      <c r="J22">
        <v>3.5</v>
      </c>
      <c r="K22">
        <v>2.7</v>
      </c>
      <c r="L22">
        <v>3.8</v>
      </c>
      <c r="M22">
        <v>49.5</v>
      </c>
      <c r="N22">
        <v>41.6</v>
      </c>
    </row>
    <row r="23" spans="1:14" x14ac:dyDescent="0.2">
      <c r="A23" t="s">
        <v>33</v>
      </c>
      <c r="B23">
        <v>0</v>
      </c>
      <c r="C23">
        <v>71</v>
      </c>
      <c r="D23">
        <v>9</v>
      </c>
      <c r="F23">
        <v>159</v>
      </c>
      <c r="G23">
        <v>187</v>
      </c>
      <c r="H23">
        <v>190</v>
      </c>
      <c r="I23">
        <v>1.19</v>
      </c>
      <c r="J23">
        <v>2.2000000000000002</v>
      </c>
      <c r="K23">
        <v>2.6</v>
      </c>
      <c r="L23">
        <v>2.2000000000000002</v>
      </c>
      <c r="M23">
        <v>51.4</v>
      </c>
      <c r="N23">
        <v>43</v>
      </c>
    </row>
    <row r="24" spans="1:14" x14ac:dyDescent="0.2">
      <c r="A24" t="s">
        <v>34</v>
      </c>
      <c r="B24">
        <v>0</v>
      </c>
      <c r="C24">
        <v>69</v>
      </c>
      <c r="D24">
        <v>11</v>
      </c>
      <c r="F24">
        <v>212</v>
      </c>
      <c r="G24">
        <v>191.16666670000001</v>
      </c>
      <c r="H24">
        <v>250</v>
      </c>
      <c r="I24">
        <v>1.18</v>
      </c>
      <c r="J24">
        <v>2.9</v>
      </c>
      <c r="K24">
        <v>2.65</v>
      </c>
      <c r="L24">
        <v>3.1</v>
      </c>
      <c r="M24">
        <v>50.8</v>
      </c>
      <c r="N24">
        <v>43.2</v>
      </c>
    </row>
    <row r="25" spans="1:14" x14ac:dyDescent="0.2">
      <c r="A25" t="s">
        <v>35</v>
      </c>
      <c r="B25">
        <v>0</v>
      </c>
      <c r="C25">
        <v>72</v>
      </c>
      <c r="D25">
        <v>6</v>
      </c>
      <c r="F25">
        <v>121</v>
      </c>
      <c r="G25">
        <v>173.66666670000001</v>
      </c>
      <c r="H25">
        <v>129</v>
      </c>
      <c r="I25">
        <v>1.06</v>
      </c>
      <c r="J25">
        <v>1.7</v>
      </c>
      <c r="K25">
        <v>2.4166666669999999</v>
      </c>
      <c r="L25">
        <v>1.7</v>
      </c>
      <c r="M25">
        <v>41.5</v>
      </c>
      <c r="N25">
        <v>39.1</v>
      </c>
    </row>
    <row r="26" spans="1:14" x14ac:dyDescent="0.2">
      <c r="A26" t="s">
        <v>36</v>
      </c>
      <c r="B26">
        <v>0</v>
      </c>
      <c r="C26">
        <v>73</v>
      </c>
      <c r="D26">
        <v>3</v>
      </c>
      <c r="F26">
        <v>27</v>
      </c>
      <c r="G26">
        <v>148.66666670000001</v>
      </c>
      <c r="H26">
        <v>26</v>
      </c>
      <c r="I26">
        <v>0.97</v>
      </c>
      <c r="J26">
        <v>0.4</v>
      </c>
      <c r="K26">
        <v>2.0666666669999998</v>
      </c>
      <c r="L26">
        <v>0.4</v>
      </c>
      <c r="M26">
        <v>55.9</v>
      </c>
      <c r="N26">
        <v>57.7</v>
      </c>
    </row>
    <row r="27" spans="1:14" x14ac:dyDescent="0.2">
      <c r="A27" t="s">
        <v>37</v>
      </c>
      <c r="B27">
        <v>0</v>
      </c>
      <c r="C27">
        <v>69</v>
      </c>
      <c r="D27">
        <v>15</v>
      </c>
      <c r="F27">
        <v>348</v>
      </c>
      <c r="G27">
        <v>186.33333329999999</v>
      </c>
      <c r="H27">
        <v>344</v>
      </c>
      <c r="I27">
        <v>0.99</v>
      </c>
      <c r="J27">
        <v>4.8</v>
      </c>
      <c r="K27">
        <v>2.5833333330000001</v>
      </c>
      <c r="L27">
        <v>5</v>
      </c>
      <c r="M27">
        <v>38.700000000000003</v>
      </c>
      <c r="N27">
        <v>39.200000000000003</v>
      </c>
    </row>
    <row r="28" spans="1:14" x14ac:dyDescent="0.2">
      <c r="A28" t="s">
        <v>38</v>
      </c>
      <c r="B28">
        <v>0</v>
      </c>
      <c r="C28">
        <v>69</v>
      </c>
      <c r="D28">
        <v>10</v>
      </c>
      <c r="F28">
        <v>200</v>
      </c>
      <c r="G28">
        <v>177.83333329999999</v>
      </c>
      <c r="H28">
        <v>203</v>
      </c>
      <c r="I28">
        <v>1.02</v>
      </c>
      <c r="J28">
        <v>2.8</v>
      </c>
      <c r="K28">
        <v>2.4666666670000001</v>
      </c>
      <c r="L28">
        <v>2.9</v>
      </c>
      <c r="M28">
        <v>41.9</v>
      </c>
      <c r="N28">
        <v>41.1</v>
      </c>
    </row>
    <row r="29" spans="1:14" x14ac:dyDescent="0.2">
      <c r="A29" t="s">
        <v>39</v>
      </c>
      <c r="B29">
        <v>0</v>
      </c>
      <c r="C29">
        <v>69</v>
      </c>
      <c r="D29">
        <v>3</v>
      </c>
      <c r="F29">
        <v>71</v>
      </c>
      <c r="G29">
        <v>163.16666670000001</v>
      </c>
      <c r="H29">
        <v>65</v>
      </c>
      <c r="I29">
        <v>0.91</v>
      </c>
      <c r="J29">
        <v>1</v>
      </c>
      <c r="K29">
        <v>2.266666667</v>
      </c>
      <c r="L29">
        <v>1</v>
      </c>
      <c r="M29">
        <v>38</v>
      </c>
      <c r="N29">
        <v>41.7</v>
      </c>
    </row>
    <row r="30" spans="1:14" x14ac:dyDescent="0.2">
      <c r="A30" t="s">
        <v>40</v>
      </c>
      <c r="B30">
        <v>0</v>
      </c>
      <c r="C30">
        <v>69</v>
      </c>
      <c r="D30">
        <v>10</v>
      </c>
      <c r="F30">
        <v>253</v>
      </c>
      <c r="G30">
        <v>170</v>
      </c>
      <c r="H30">
        <v>236</v>
      </c>
      <c r="I30">
        <v>0.93</v>
      </c>
      <c r="J30">
        <v>3.5</v>
      </c>
      <c r="K30">
        <v>2.3666666670000001</v>
      </c>
      <c r="L30">
        <v>3.7</v>
      </c>
      <c r="M30">
        <v>36.9</v>
      </c>
      <c r="N30">
        <v>39.6</v>
      </c>
    </row>
    <row r="31" spans="1:14" x14ac:dyDescent="0.2">
      <c r="A31" t="s">
        <v>41</v>
      </c>
      <c r="B31">
        <v>0</v>
      </c>
      <c r="C31">
        <v>71</v>
      </c>
      <c r="D31">
        <v>5</v>
      </c>
      <c r="F31">
        <v>115</v>
      </c>
      <c r="G31">
        <v>169</v>
      </c>
      <c r="H31">
        <v>107</v>
      </c>
      <c r="I31">
        <v>0.93</v>
      </c>
      <c r="J31">
        <v>1.6</v>
      </c>
      <c r="K31">
        <v>2.35</v>
      </c>
      <c r="L31">
        <v>1.6</v>
      </c>
      <c r="M31">
        <v>38.799999999999997</v>
      </c>
      <c r="N31">
        <v>41.6</v>
      </c>
    </row>
    <row r="32" spans="1:14" x14ac:dyDescent="0.2">
      <c r="A32" t="s">
        <v>42</v>
      </c>
      <c r="B32">
        <v>0</v>
      </c>
      <c r="C32">
        <v>69</v>
      </c>
      <c r="D32">
        <v>7</v>
      </c>
      <c r="F32">
        <v>167</v>
      </c>
      <c r="G32">
        <v>192.33333329999999</v>
      </c>
      <c r="H32">
        <v>154</v>
      </c>
      <c r="I32">
        <v>0.92</v>
      </c>
      <c r="J32">
        <v>2.2999999999999998</v>
      </c>
      <c r="K32">
        <v>2.6666666669999999</v>
      </c>
      <c r="L32">
        <v>2.4</v>
      </c>
      <c r="M32">
        <v>36.9</v>
      </c>
      <c r="N32">
        <v>40.1</v>
      </c>
    </row>
    <row r="33" spans="1:14" x14ac:dyDescent="0.2">
      <c r="A33" t="s">
        <v>43</v>
      </c>
      <c r="B33">
        <v>0</v>
      </c>
      <c r="C33">
        <v>70</v>
      </c>
      <c r="D33">
        <v>13</v>
      </c>
      <c r="F33">
        <v>311</v>
      </c>
      <c r="G33">
        <v>186.16666670000001</v>
      </c>
      <c r="H33">
        <v>298</v>
      </c>
      <c r="I33">
        <v>0.96</v>
      </c>
      <c r="J33">
        <v>4.3</v>
      </c>
      <c r="K33">
        <v>2.5833333330000001</v>
      </c>
      <c r="L33">
        <v>4.4000000000000004</v>
      </c>
      <c r="M33">
        <v>38.4</v>
      </c>
      <c r="N33">
        <v>40.1</v>
      </c>
    </row>
    <row r="34" spans="1:14" x14ac:dyDescent="0.2">
      <c r="A34" t="s">
        <v>44</v>
      </c>
      <c r="B34">
        <v>0</v>
      </c>
      <c r="C34">
        <v>69</v>
      </c>
      <c r="D34">
        <v>10</v>
      </c>
      <c r="F34">
        <v>212</v>
      </c>
      <c r="G34">
        <v>188.16666670000001</v>
      </c>
      <c r="H34">
        <v>211</v>
      </c>
      <c r="I34">
        <v>1</v>
      </c>
      <c r="J34">
        <v>2.9</v>
      </c>
      <c r="K34">
        <v>2.6</v>
      </c>
      <c r="L34">
        <v>3.1</v>
      </c>
      <c r="M34">
        <v>41.6</v>
      </c>
      <c r="N34">
        <v>41.7</v>
      </c>
    </row>
    <row r="35" spans="1:14" x14ac:dyDescent="0.2">
      <c r="A35" t="s">
        <v>45</v>
      </c>
      <c r="B35">
        <v>0</v>
      </c>
      <c r="C35">
        <v>75</v>
      </c>
      <c r="D35">
        <v>10</v>
      </c>
      <c r="F35">
        <v>179</v>
      </c>
      <c r="G35">
        <v>206.16666670000001</v>
      </c>
      <c r="H35">
        <v>186</v>
      </c>
      <c r="I35">
        <v>1.04</v>
      </c>
      <c r="J35">
        <v>2.5</v>
      </c>
      <c r="K35">
        <v>2.85</v>
      </c>
      <c r="L35">
        <v>2.4</v>
      </c>
      <c r="M35">
        <v>46.9</v>
      </c>
      <c r="N35">
        <v>45.1</v>
      </c>
    </row>
    <row r="36" spans="1:14" x14ac:dyDescent="0.2">
      <c r="A36" t="s">
        <v>46</v>
      </c>
      <c r="B36">
        <v>25</v>
      </c>
      <c r="C36">
        <v>82</v>
      </c>
      <c r="D36">
        <v>6</v>
      </c>
      <c r="F36">
        <v>163</v>
      </c>
      <c r="G36">
        <v>191.16666670000001</v>
      </c>
      <c r="H36">
        <v>147</v>
      </c>
      <c r="I36">
        <v>0.9</v>
      </c>
      <c r="J36">
        <v>2.2999999999999998</v>
      </c>
      <c r="K36">
        <v>2.65</v>
      </c>
      <c r="L36">
        <v>2</v>
      </c>
      <c r="M36">
        <v>30.3</v>
      </c>
      <c r="N36">
        <v>33.6</v>
      </c>
    </row>
    <row r="37" spans="1:14" x14ac:dyDescent="0.2">
      <c r="A37" t="s">
        <v>47</v>
      </c>
      <c r="B37">
        <v>25</v>
      </c>
      <c r="C37">
        <v>87</v>
      </c>
      <c r="D37">
        <v>7</v>
      </c>
      <c r="F37">
        <v>180</v>
      </c>
      <c r="G37">
        <v>202</v>
      </c>
      <c r="H37">
        <v>129</v>
      </c>
      <c r="I37">
        <v>0.72</v>
      </c>
      <c r="J37">
        <v>2.5</v>
      </c>
      <c r="K37">
        <v>2.8</v>
      </c>
      <c r="L37">
        <v>2.1</v>
      </c>
      <c r="M37">
        <v>26.4</v>
      </c>
      <c r="N37">
        <v>36.799999999999997</v>
      </c>
    </row>
    <row r="38" spans="1:14" x14ac:dyDescent="0.2">
      <c r="A38" t="s">
        <v>48</v>
      </c>
      <c r="B38">
        <v>25</v>
      </c>
      <c r="C38">
        <v>87</v>
      </c>
      <c r="D38">
        <v>9</v>
      </c>
      <c r="F38">
        <v>301</v>
      </c>
      <c r="G38">
        <v>224.33333329999999</v>
      </c>
      <c r="H38">
        <v>193</v>
      </c>
      <c r="I38">
        <v>0.64</v>
      </c>
      <c r="J38">
        <v>4.2</v>
      </c>
      <c r="K38">
        <v>3.1166666670000001</v>
      </c>
      <c r="L38">
        <v>3.5</v>
      </c>
      <c r="M38">
        <v>19</v>
      </c>
      <c r="N38">
        <v>29.7</v>
      </c>
    </row>
    <row r="39" spans="1:14" x14ac:dyDescent="0.2">
      <c r="A39" t="s">
        <v>49</v>
      </c>
      <c r="B39">
        <v>25</v>
      </c>
      <c r="C39">
        <v>85</v>
      </c>
      <c r="D39">
        <v>19</v>
      </c>
      <c r="F39">
        <v>685</v>
      </c>
      <c r="G39">
        <v>286.66666670000001</v>
      </c>
      <c r="H39">
        <v>482</v>
      </c>
      <c r="I39">
        <v>0.7</v>
      </c>
      <c r="J39">
        <v>9.5</v>
      </c>
      <c r="K39">
        <v>3.983333333</v>
      </c>
      <c r="L39">
        <v>8.1</v>
      </c>
      <c r="M39">
        <v>25.6</v>
      </c>
      <c r="N39">
        <v>36.5</v>
      </c>
    </row>
    <row r="40" spans="1:14" x14ac:dyDescent="0.2">
      <c r="A40" t="s">
        <v>50</v>
      </c>
      <c r="B40">
        <v>25</v>
      </c>
      <c r="C40">
        <v>86</v>
      </c>
      <c r="D40">
        <v>18</v>
      </c>
      <c r="F40">
        <v>650</v>
      </c>
      <c r="G40">
        <v>359.66666670000001</v>
      </c>
      <c r="H40">
        <v>492</v>
      </c>
      <c r="I40">
        <v>0.76</v>
      </c>
      <c r="J40">
        <v>9</v>
      </c>
      <c r="K40">
        <v>5</v>
      </c>
      <c r="L40">
        <v>7.6</v>
      </c>
      <c r="M40">
        <v>26.1</v>
      </c>
      <c r="N40">
        <v>34.5</v>
      </c>
    </row>
    <row r="41" spans="1:14" x14ac:dyDescent="0.2">
      <c r="A41" t="s">
        <v>51</v>
      </c>
      <c r="B41">
        <v>25</v>
      </c>
      <c r="C41">
        <v>85</v>
      </c>
      <c r="D41">
        <v>12</v>
      </c>
      <c r="F41">
        <v>412</v>
      </c>
      <c r="G41">
        <v>398.5</v>
      </c>
      <c r="H41">
        <v>291</v>
      </c>
      <c r="I41">
        <v>0.71</v>
      </c>
      <c r="J41">
        <v>5.7</v>
      </c>
      <c r="K41">
        <v>5.5333333329999999</v>
      </c>
      <c r="L41">
        <v>4.8</v>
      </c>
      <c r="M41">
        <v>24.1</v>
      </c>
      <c r="N41">
        <v>34.1</v>
      </c>
    </row>
    <row r="42" spans="1:14" x14ac:dyDescent="0.2">
      <c r="A42" t="s">
        <v>52</v>
      </c>
      <c r="B42">
        <v>25</v>
      </c>
      <c r="C42">
        <v>86</v>
      </c>
      <c r="D42">
        <v>10</v>
      </c>
      <c r="F42">
        <v>509</v>
      </c>
      <c r="G42">
        <v>456.16666670000001</v>
      </c>
      <c r="H42">
        <v>326</v>
      </c>
      <c r="I42">
        <v>0.64</v>
      </c>
      <c r="J42">
        <v>7.1</v>
      </c>
      <c r="K42">
        <v>6.3333333329999997</v>
      </c>
      <c r="L42">
        <v>5.9</v>
      </c>
      <c r="M42">
        <v>18.2</v>
      </c>
      <c r="N42">
        <v>28.4</v>
      </c>
    </row>
    <row r="43" spans="1:14" x14ac:dyDescent="0.2">
      <c r="A43" t="s">
        <v>53</v>
      </c>
      <c r="B43">
        <v>25</v>
      </c>
      <c r="C43">
        <v>84</v>
      </c>
      <c r="D43">
        <v>12</v>
      </c>
      <c r="F43">
        <v>480</v>
      </c>
      <c r="G43">
        <v>506.16666670000001</v>
      </c>
      <c r="H43">
        <v>291</v>
      </c>
      <c r="I43">
        <v>0.61</v>
      </c>
      <c r="J43">
        <v>6.7</v>
      </c>
      <c r="K43">
        <v>7.0333333329999999</v>
      </c>
      <c r="L43">
        <v>5.7</v>
      </c>
      <c r="M43">
        <v>20.7</v>
      </c>
      <c r="N43">
        <v>34.200000000000003</v>
      </c>
    </row>
    <row r="44" spans="1:14" x14ac:dyDescent="0.2">
      <c r="A44" t="s">
        <v>54</v>
      </c>
      <c r="B44">
        <v>25</v>
      </c>
      <c r="C44">
        <v>84</v>
      </c>
      <c r="D44">
        <v>16</v>
      </c>
      <c r="F44">
        <v>772</v>
      </c>
      <c r="G44">
        <v>584.66666669999995</v>
      </c>
      <c r="H44">
        <v>448</v>
      </c>
      <c r="I44">
        <v>0.57999999999999996</v>
      </c>
      <c r="J44">
        <v>10.7</v>
      </c>
      <c r="K44">
        <v>8.1166666670000005</v>
      </c>
      <c r="L44">
        <v>9.1999999999999993</v>
      </c>
      <c r="M44">
        <v>17.7</v>
      </c>
      <c r="N44">
        <v>30.6</v>
      </c>
    </row>
    <row r="45" spans="1:14" x14ac:dyDescent="0.2">
      <c r="A45" t="s">
        <v>55</v>
      </c>
      <c r="B45">
        <v>25</v>
      </c>
      <c r="C45">
        <v>85</v>
      </c>
      <c r="D45">
        <v>22</v>
      </c>
      <c r="F45">
        <v>953</v>
      </c>
      <c r="G45">
        <v>629.33333330000005</v>
      </c>
      <c r="H45">
        <v>635</v>
      </c>
      <c r="I45">
        <v>0.67</v>
      </c>
      <c r="J45">
        <v>13.2</v>
      </c>
      <c r="K45">
        <v>8.7333333329999991</v>
      </c>
      <c r="L45">
        <v>11.2</v>
      </c>
      <c r="M45">
        <v>21.9</v>
      </c>
      <c r="N45">
        <v>32.799999999999997</v>
      </c>
    </row>
    <row r="46" spans="1:14" x14ac:dyDescent="0.2">
      <c r="A46" t="s">
        <v>56</v>
      </c>
      <c r="B46">
        <v>25</v>
      </c>
      <c r="C46">
        <v>84</v>
      </c>
      <c r="D46">
        <v>17</v>
      </c>
      <c r="F46">
        <v>715</v>
      </c>
      <c r="G46">
        <v>640.16666669999995</v>
      </c>
      <c r="H46">
        <v>482</v>
      </c>
      <c r="I46">
        <v>0.67</v>
      </c>
      <c r="J46">
        <v>9.9</v>
      </c>
      <c r="K46">
        <v>8.8833333329999995</v>
      </c>
      <c r="L46">
        <v>8.5</v>
      </c>
      <c r="M46">
        <v>21</v>
      </c>
      <c r="N46">
        <v>31.2</v>
      </c>
    </row>
    <row r="47" spans="1:14" x14ac:dyDescent="0.2">
      <c r="A47" t="s">
        <v>57</v>
      </c>
      <c r="B47">
        <v>26</v>
      </c>
      <c r="C47">
        <v>84</v>
      </c>
      <c r="D47">
        <v>19</v>
      </c>
      <c r="F47">
        <v>878</v>
      </c>
      <c r="G47">
        <v>717.83333330000005</v>
      </c>
      <c r="H47">
        <v>586</v>
      </c>
      <c r="I47">
        <v>0.67</v>
      </c>
      <c r="J47">
        <v>12.2</v>
      </c>
      <c r="K47">
        <v>9.9666666670000001</v>
      </c>
      <c r="L47">
        <v>10.5</v>
      </c>
      <c r="M47">
        <v>19.5</v>
      </c>
      <c r="N47">
        <v>29.3</v>
      </c>
    </row>
    <row r="48" spans="1:14" x14ac:dyDescent="0.2">
      <c r="A48" t="s">
        <v>58</v>
      </c>
      <c r="B48">
        <v>27</v>
      </c>
      <c r="C48">
        <v>86</v>
      </c>
      <c r="D48">
        <v>31</v>
      </c>
      <c r="F48">
        <v>1157</v>
      </c>
      <c r="G48">
        <v>825.83333330000005</v>
      </c>
      <c r="H48">
        <v>874</v>
      </c>
      <c r="I48">
        <v>0.76</v>
      </c>
      <c r="J48">
        <v>16</v>
      </c>
      <c r="K48">
        <v>11.45</v>
      </c>
      <c r="L48">
        <v>13.5</v>
      </c>
      <c r="M48">
        <v>25.9</v>
      </c>
      <c r="N48">
        <v>34.200000000000003</v>
      </c>
    </row>
    <row r="49" spans="1:14" x14ac:dyDescent="0.2">
      <c r="A49" t="s">
        <v>59</v>
      </c>
      <c r="B49">
        <v>28</v>
      </c>
      <c r="C49">
        <v>89</v>
      </c>
      <c r="D49">
        <v>13</v>
      </c>
      <c r="F49">
        <v>495</v>
      </c>
      <c r="G49">
        <v>828.33333330000005</v>
      </c>
      <c r="H49">
        <v>379</v>
      </c>
      <c r="I49">
        <v>0.76</v>
      </c>
      <c r="J49">
        <v>6.9</v>
      </c>
      <c r="K49">
        <v>11.483333330000001</v>
      </c>
      <c r="L49">
        <v>5.6</v>
      </c>
      <c r="M49">
        <v>23.4</v>
      </c>
      <c r="N49">
        <v>30.6</v>
      </c>
    </row>
    <row r="50" spans="1:14" x14ac:dyDescent="0.2">
      <c r="A50" t="s">
        <v>60</v>
      </c>
      <c r="B50">
        <v>29</v>
      </c>
      <c r="C50">
        <v>88</v>
      </c>
      <c r="D50">
        <v>20</v>
      </c>
      <c r="F50">
        <v>723</v>
      </c>
      <c r="G50">
        <v>820.16666669999995</v>
      </c>
      <c r="H50">
        <v>564</v>
      </c>
      <c r="I50">
        <v>0.78</v>
      </c>
      <c r="J50">
        <v>10</v>
      </c>
      <c r="K50">
        <v>11.366666670000001</v>
      </c>
      <c r="L50">
        <v>8.1999999999999993</v>
      </c>
      <c r="M50">
        <v>24.3</v>
      </c>
      <c r="N50">
        <v>31.1</v>
      </c>
    </row>
    <row r="51" spans="1:14" x14ac:dyDescent="0.2">
      <c r="A51" t="s">
        <v>61</v>
      </c>
      <c r="B51">
        <v>30</v>
      </c>
      <c r="C51">
        <v>86</v>
      </c>
      <c r="D51">
        <v>25</v>
      </c>
      <c r="F51">
        <v>914</v>
      </c>
      <c r="G51">
        <v>813.66666669999995</v>
      </c>
      <c r="H51">
        <v>732</v>
      </c>
      <c r="I51">
        <v>0.8</v>
      </c>
      <c r="J51">
        <v>12.7</v>
      </c>
      <c r="K51">
        <v>11.28333333</v>
      </c>
      <c r="L51">
        <v>10.6</v>
      </c>
      <c r="M51">
        <v>25.1</v>
      </c>
      <c r="N51">
        <v>31.4</v>
      </c>
    </row>
    <row r="52" spans="1:14" x14ac:dyDescent="0.2">
      <c r="A52" t="s">
        <v>62</v>
      </c>
      <c r="B52">
        <v>31</v>
      </c>
      <c r="C52">
        <v>84</v>
      </c>
      <c r="D52">
        <v>29</v>
      </c>
      <c r="F52">
        <v>900</v>
      </c>
      <c r="G52">
        <v>844.5</v>
      </c>
      <c r="H52">
        <v>803</v>
      </c>
      <c r="I52">
        <v>0.89</v>
      </c>
      <c r="J52">
        <v>12.5</v>
      </c>
      <c r="K52">
        <v>11.71666667</v>
      </c>
      <c r="L52">
        <v>10.7</v>
      </c>
      <c r="M52">
        <v>30.9</v>
      </c>
      <c r="N52">
        <v>34.6</v>
      </c>
    </row>
    <row r="53" spans="1:14" x14ac:dyDescent="0.2">
      <c r="A53" t="s">
        <v>63</v>
      </c>
      <c r="B53">
        <v>32</v>
      </c>
      <c r="C53">
        <v>83</v>
      </c>
      <c r="D53">
        <v>16</v>
      </c>
      <c r="F53">
        <v>586</v>
      </c>
      <c r="G53">
        <v>795.83333330000005</v>
      </c>
      <c r="H53">
        <v>476</v>
      </c>
      <c r="I53">
        <v>0.81</v>
      </c>
      <c r="J53">
        <v>8.1</v>
      </c>
      <c r="K53">
        <v>11.03333333</v>
      </c>
      <c r="L53">
        <v>7.1</v>
      </c>
      <c r="M53">
        <v>24.2</v>
      </c>
      <c r="N53">
        <v>29.7</v>
      </c>
    </row>
    <row r="54" spans="1:14" x14ac:dyDescent="0.2">
      <c r="A54" t="s">
        <v>64</v>
      </c>
      <c r="B54">
        <v>33</v>
      </c>
      <c r="C54">
        <v>83</v>
      </c>
      <c r="D54">
        <v>20</v>
      </c>
      <c r="F54">
        <v>751</v>
      </c>
      <c r="G54">
        <v>728.16666669999995</v>
      </c>
      <c r="H54">
        <v>601</v>
      </c>
      <c r="I54">
        <v>0.8</v>
      </c>
      <c r="J54">
        <v>10.4</v>
      </c>
      <c r="K54">
        <v>10.1</v>
      </c>
      <c r="L54">
        <v>9</v>
      </c>
      <c r="M54">
        <v>23.2</v>
      </c>
      <c r="N54">
        <v>29</v>
      </c>
    </row>
    <row r="55" spans="1:14" x14ac:dyDescent="0.2">
      <c r="A55" t="s">
        <v>65</v>
      </c>
      <c r="B55">
        <v>35</v>
      </c>
      <c r="C55">
        <v>82</v>
      </c>
      <c r="D55">
        <v>23</v>
      </c>
      <c r="F55">
        <v>798</v>
      </c>
      <c r="G55">
        <v>778.66666669999995</v>
      </c>
      <c r="H55">
        <v>655</v>
      </c>
      <c r="I55">
        <v>0.82</v>
      </c>
      <c r="J55">
        <v>11.1</v>
      </c>
      <c r="K55">
        <v>10.8</v>
      </c>
      <c r="L55">
        <v>9.6999999999999993</v>
      </c>
      <c r="M55">
        <v>26</v>
      </c>
      <c r="N55">
        <v>31.6</v>
      </c>
    </row>
    <row r="56" spans="1:14" x14ac:dyDescent="0.2">
      <c r="A56" t="s">
        <v>66</v>
      </c>
      <c r="B56">
        <v>35</v>
      </c>
      <c r="C56">
        <v>82</v>
      </c>
      <c r="D56">
        <v>19</v>
      </c>
      <c r="F56">
        <v>649</v>
      </c>
      <c r="G56">
        <v>766.33333330000005</v>
      </c>
      <c r="H56">
        <v>555</v>
      </c>
      <c r="I56">
        <v>0.86</v>
      </c>
      <c r="J56">
        <v>9</v>
      </c>
      <c r="K56">
        <v>10.633333329999999</v>
      </c>
      <c r="L56">
        <v>7.9</v>
      </c>
      <c r="M56">
        <v>26.5</v>
      </c>
      <c r="N56">
        <v>31</v>
      </c>
    </row>
    <row r="57" spans="1:14" x14ac:dyDescent="0.2">
      <c r="A57" t="s">
        <v>67</v>
      </c>
      <c r="B57">
        <v>36</v>
      </c>
      <c r="C57">
        <v>81</v>
      </c>
      <c r="D57">
        <v>23</v>
      </c>
      <c r="F57">
        <v>793</v>
      </c>
      <c r="G57">
        <v>746.16666669999995</v>
      </c>
      <c r="H57">
        <v>679</v>
      </c>
      <c r="I57">
        <v>0.86</v>
      </c>
      <c r="J57">
        <v>11</v>
      </c>
      <c r="K57">
        <v>10.35</v>
      </c>
      <c r="L57">
        <v>9.8000000000000007</v>
      </c>
      <c r="M57">
        <v>26.1</v>
      </c>
      <c r="N57">
        <v>30.5</v>
      </c>
    </row>
    <row r="58" spans="1:14" x14ac:dyDescent="0.2">
      <c r="A58" t="s">
        <v>68</v>
      </c>
      <c r="B58">
        <v>37</v>
      </c>
      <c r="C58">
        <v>81</v>
      </c>
      <c r="D58">
        <v>21</v>
      </c>
      <c r="F58">
        <v>705</v>
      </c>
      <c r="G58">
        <v>713.66666669999995</v>
      </c>
      <c r="H58">
        <v>617</v>
      </c>
      <c r="I58">
        <v>0.88</v>
      </c>
      <c r="J58">
        <v>9.8000000000000007</v>
      </c>
      <c r="K58">
        <v>9.9</v>
      </c>
      <c r="L58">
        <v>8.6999999999999993</v>
      </c>
      <c r="M58">
        <v>26.3</v>
      </c>
      <c r="N58">
        <v>30</v>
      </c>
    </row>
    <row r="59" spans="1:14" x14ac:dyDescent="0.2">
      <c r="A59" t="s">
        <v>69</v>
      </c>
      <c r="B59">
        <v>38</v>
      </c>
      <c r="C59">
        <v>81</v>
      </c>
      <c r="D59">
        <v>22</v>
      </c>
      <c r="F59">
        <v>766</v>
      </c>
      <c r="G59">
        <v>743.66666669999995</v>
      </c>
      <c r="H59">
        <v>649</v>
      </c>
      <c r="I59">
        <v>0.85</v>
      </c>
      <c r="J59">
        <v>10.6</v>
      </c>
      <c r="K59">
        <v>10.31666667</v>
      </c>
      <c r="L59">
        <v>9.5</v>
      </c>
      <c r="M59">
        <v>25.5</v>
      </c>
      <c r="N59">
        <v>30.2</v>
      </c>
    </row>
    <row r="60" spans="1:14" x14ac:dyDescent="0.2">
      <c r="A60" t="s">
        <v>70</v>
      </c>
      <c r="B60">
        <v>39</v>
      </c>
      <c r="C60">
        <v>84</v>
      </c>
      <c r="D60">
        <v>19</v>
      </c>
      <c r="F60">
        <v>634</v>
      </c>
      <c r="G60">
        <v>724.16666669999995</v>
      </c>
      <c r="H60">
        <v>560</v>
      </c>
      <c r="I60">
        <v>0.88</v>
      </c>
      <c r="J60">
        <v>8.8000000000000007</v>
      </c>
      <c r="K60">
        <v>10.050000000000001</v>
      </c>
      <c r="L60">
        <v>7.5</v>
      </c>
      <c r="M60">
        <v>27.7</v>
      </c>
      <c r="N60">
        <v>31.3</v>
      </c>
    </row>
    <row r="61" spans="1:14" x14ac:dyDescent="0.2">
      <c r="A61" t="s">
        <v>71</v>
      </c>
      <c r="B61">
        <v>41</v>
      </c>
      <c r="C61">
        <v>85</v>
      </c>
      <c r="D61">
        <v>21</v>
      </c>
      <c r="F61">
        <v>742</v>
      </c>
      <c r="G61">
        <v>714.83333330000005</v>
      </c>
      <c r="H61">
        <v>645</v>
      </c>
      <c r="I61">
        <v>0.87</v>
      </c>
      <c r="J61">
        <v>10.3</v>
      </c>
      <c r="K61">
        <v>9.9166666669999994</v>
      </c>
      <c r="L61">
        <v>8.6999999999999993</v>
      </c>
      <c r="M61">
        <v>25.9</v>
      </c>
      <c r="N61">
        <v>29.8</v>
      </c>
    </row>
    <row r="62" spans="1:14" x14ac:dyDescent="0.2">
      <c r="A62" t="s">
        <v>72</v>
      </c>
      <c r="B62">
        <v>43</v>
      </c>
      <c r="C62">
        <v>88</v>
      </c>
      <c r="D62">
        <v>25</v>
      </c>
      <c r="F62">
        <v>842</v>
      </c>
      <c r="G62">
        <v>747</v>
      </c>
      <c r="H62">
        <v>745</v>
      </c>
      <c r="I62">
        <v>0.89</v>
      </c>
      <c r="J62">
        <v>11.7</v>
      </c>
      <c r="K62">
        <v>10.366666670000001</v>
      </c>
      <c r="L62">
        <v>9.6</v>
      </c>
      <c r="M62">
        <v>27.5</v>
      </c>
      <c r="N62">
        <v>31.1</v>
      </c>
    </row>
    <row r="63" spans="1:14" x14ac:dyDescent="0.2">
      <c r="A63" t="s">
        <v>73</v>
      </c>
      <c r="B63">
        <v>43</v>
      </c>
      <c r="C63">
        <v>87</v>
      </c>
      <c r="D63">
        <v>22</v>
      </c>
      <c r="F63">
        <v>725</v>
      </c>
      <c r="G63">
        <v>735.66666669999995</v>
      </c>
      <c r="H63">
        <v>670</v>
      </c>
      <c r="I63">
        <v>0.92</v>
      </c>
      <c r="J63">
        <v>10.1</v>
      </c>
      <c r="K63">
        <v>10.21666667</v>
      </c>
      <c r="L63">
        <v>8.3000000000000007</v>
      </c>
      <c r="M63">
        <v>27.5</v>
      </c>
      <c r="N63">
        <v>29.8</v>
      </c>
    </row>
    <row r="64" spans="1:14" x14ac:dyDescent="0.2">
      <c r="A64" t="s">
        <v>74</v>
      </c>
      <c r="B64">
        <v>45</v>
      </c>
      <c r="C64">
        <v>87</v>
      </c>
      <c r="D64">
        <v>26</v>
      </c>
      <c r="F64">
        <v>808</v>
      </c>
      <c r="G64">
        <v>752.83333330000005</v>
      </c>
      <c r="H64">
        <v>760</v>
      </c>
      <c r="I64">
        <v>0.94</v>
      </c>
      <c r="J64">
        <v>11.2</v>
      </c>
      <c r="K64">
        <v>10.45</v>
      </c>
      <c r="L64">
        <v>9.3000000000000007</v>
      </c>
      <c r="M64">
        <v>29.6</v>
      </c>
      <c r="N64">
        <v>31.4</v>
      </c>
    </row>
    <row r="65" spans="1:14" x14ac:dyDescent="0.2">
      <c r="A65" t="s">
        <v>75</v>
      </c>
      <c r="B65">
        <v>46</v>
      </c>
      <c r="C65">
        <v>87</v>
      </c>
      <c r="D65">
        <v>23</v>
      </c>
      <c r="F65">
        <v>749</v>
      </c>
      <c r="G65">
        <v>750</v>
      </c>
      <c r="H65">
        <v>689</v>
      </c>
      <c r="I65">
        <v>0.92</v>
      </c>
      <c r="J65">
        <v>10.4</v>
      </c>
      <c r="K65">
        <v>10.41666667</v>
      </c>
      <c r="L65">
        <v>8.6</v>
      </c>
      <c r="M65">
        <v>27.5</v>
      </c>
      <c r="N65">
        <v>30</v>
      </c>
    </row>
    <row r="66" spans="1:14" x14ac:dyDescent="0.2">
      <c r="A66" t="s">
        <v>76</v>
      </c>
      <c r="B66">
        <v>46</v>
      </c>
      <c r="C66">
        <v>87</v>
      </c>
      <c r="D66">
        <v>21</v>
      </c>
      <c r="F66">
        <v>687</v>
      </c>
      <c r="G66">
        <v>758.83333330000005</v>
      </c>
      <c r="H66">
        <v>634</v>
      </c>
      <c r="I66">
        <v>0.92</v>
      </c>
      <c r="J66">
        <v>9.5</v>
      </c>
      <c r="K66">
        <v>10.53333333</v>
      </c>
      <c r="L66">
        <v>7.9</v>
      </c>
      <c r="M66">
        <v>27.4</v>
      </c>
      <c r="N66">
        <v>29.7</v>
      </c>
    </row>
    <row r="67" spans="1:14" x14ac:dyDescent="0.2">
      <c r="A67" t="s">
        <v>77</v>
      </c>
      <c r="B67">
        <v>48</v>
      </c>
      <c r="C67">
        <v>87</v>
      </c>
      <c r="D67">
        <v>28</v>
      </c>
      <c r="F67">
        <v>936</v>
      </c>
      <c r="G67">
        <v>791.16666669999995</v>
      </c>
      <c r="H67">
        <v>864</v>
      </c>
      <c r="I67">
        <v>0.92</v>
      </c>
      <c r="J67">
        <v>13</v>
      </c>
      <c r="K67">
        <v>10.983333330000001</v>
      </c>
      <c r="L67">
        <v>10.8</v>
      </c>
      <c r="M67">
        <v>28.5</v>
      </c>
      <c r="N67">
        <v>30.9</v>
      </c>
    </row>
    <row r="68" spans="1:14" x14ac:dyDescent="0.2">
      <c r="A68" t="s">
        <v>78</v>
      </c>
      <c r="B68">
        <v>48</v>
      </c>
      <c r="C68">
        <v>87</v>
      </c>
      <c r="D68">
        <v>20</v>
      </c>
      <c r="F68">
        <v>586</v>
      </c>
      <c r="G68">
        <v>748.5</v>
      </c>
      <c r="H68">
        <v>566</v>
      </c>
      <c r="I68">
        <v>0.96</v>
      </c>
      <c r="J68">
        <v>8.1</v>
      </c>
      <c r="K68">
        <v>10.383333329999999</v>
      </c>
      <c r="L68">
        <v>6.7</v>
      </c>
      <c r="M68">
        <v>30</v>
      </c>
      <c r="N68">
        <v>31.1</v>
      </c>
    </row>
    <row r="69" spans="1:14" x14ac:dyDescent="0.2">
      <c r="A69" t="s">
        <v>79</v>
      </c>
      <c r="B69">
        <v>50</v>
      </c>
      <c r="C69">
        <v>87</v>
      </c>
      <c r="D69">
        <v>26</v>
      </c>
      <c r="F69">
        <v>897</v>
      </c>
      <c r="G69">
        <v>777.16666669999995</v>
      </c>
      <c r="H69">
        <v>844</v>
      </c>
      <c r="I69">
        <v>0.94</v>
      </c>
      <c r="J69">
        <v>12.4</v>
      </c>
      <c r="K69">
        <v>10.766666669999999</v>
      </c>
      <c r="L69">
        <v>10.3</v>
      </c>
      <c r="M69">
        <v>26.9</v>
      </c>
      <c r="N69">
        <v>28.6</v>
      </c>
    </row>
    <row r="70" spans="1:14" x14ac:dyDescent="0.2">
      <c r="A70" t="s">
        <v>80</v>
      </c>
      <c r="B70">
        <v>51</v>
      </c>
      <c r="C70">
        <v>89</v>
      </c>
      <c r="D70">
        <v>26</v>
      </c>
      <c r="F70">
        <v>829</v>
      </c>
      <c r="G70">
        <v>780.66666669999995</v>
      </c>
      <c r="H70">
        <v>797</v>
      </c>
      <c r="I70">
        <v>0.96</v>
      </c>
      <c r="J70">
        <v>11.5</v>
      </c>
      <c r="K70">
        <v>10.81666667</v>
      </c>
      <c r="L70">
        <v>9.3000000000000007</v>
      </c>
      <c r="M70">
        <v>30</v>
      </c>
      <c r="N70">
        <v>31.2</v>
      </c>
    </row>
    <row r="71" spans="1:14" x14ac:dyDescent="0.2">
      <c r="A71" t="s">
        <v>81</v>
      </c>
      <c r="B71">
        <v>52</v>
      </c>
      <c r="C71">
        <v>89</v>
      </c>
      <c r="D71">
        <v>27</v>
      </c>
      <c r="F71">
        <v>873</v>
      </c>
      <c r="G71">
        <v>801.33333330000005</v>
      </c>
      <c r="H71">
        <v>828</v>
      </c>
      <c r="I71">
        <v>0.95</v>
      </c>
      <c r="J71">
        <v>12.1</v>
      </c>
      <c r="K71">
        <v>11.1</v>
      </c>
      <c r="L71">
        <v>9.8000000000000007</v>
      </c>
      <c r="M71">
        <v>29</v>
      </c>
      <c r="N71">
        <v>30.5</v>
      </c>
    </row>
    <row r="72" spans="1:14" x14ac:dyDescent="0.2">
      <c r="A72" t="s">
        <v>82</v>
      </c>
      <c r="B72">
        <v>53</v>
      </c>
      <c r="C72">
        <v>88</v>
      </c>
      <c r="D72">
        <v>20</v>
      </c>
      <c r="F72">
        <v>637</v>
      </c>
      <c r="G72">
        <v>793</v>
      </c>
      <c r="H72">
        <v>592</v>
      </c>
      <c r="I72">
        <v>0.93</v>
      </c>
      <c r="J72">
        <v>8.8000000000000007</v>
      </c>
      <c r="K72">
        <v>10.983333330000001</v>
      </c>
      <c r="L72">
        <v>7.2</v>
      </c>
      <c r="M72">
        <v>28.3</v>
      </c>
      <c r="N72">
        <v>30.4</v>
      </c>
    </row>
    <row r="73" spans="1:14" x14ac:dyDescent="0.2">
      <c r="A73" t="s">
        <v>83</v>
      </c>
      <c r="B73">
        <v>54</v>
      </c>
      <c r="C73">
        <v>88</v>
      </c>
      <c r="D73">
        <v>22</v>
      </c>
      <c r="F73">
        <v>729</v>
      </c>
      <c r="G73">
        <v>758.5</v>
      </c>
      <c r="H73">
        <v>682</v>
      </c>
      <c r="I73">
        <v>0.94</v>
      </c>
      <c r="J73">
        <v>10.1</v>
      </c>
      <c r="K73">
        <v>10.5</v>
      </c>
      <c r="L73">
        <v>8.3000000000000007</v>
      </c>
      <c r="M73">
        <v>26.9</v>
      </c>
      <c r="N73">
        <v>28.7</v>
      </c>
    </row>
    <row r="74" spans="1:14" x14ac:dyDescent="0.2">
      <c r="A74" t="s">
        <v>84</v>
      </c>
      <c r="B74">
        <v>55</v>
      </c>
      <c r="C74">
        <v>88</v>
      </c>
      <c r="D74">
        <v>24</v>
      </c>
      <c r="F74">
        <v>836</v>
      </c>
      <c r="G74">
        <v>800.16666669999995</v>
      </c>
      <c r="H74">
        <v>781</v>
      </c>
      <c r="I74">
        <v>0.93</v>
      </c>
      <c r="J74">
        <v>11.6</v>
      </c>
      <c r="K74">
        <v>11.08333333</v>
      </c>
      <c r="L74">
        <v>9.5</v>
      </c>
      <c r="M74">
        <v>26.6</v>
      </c>
      <c r="N74">
        <v>28.5</v>
      </c>
    </row>
    <row r="75" spans="1:14" x14ac:dyDescent="0.2">
      <c r="A75" t="s">
        <v>85</v>
      </c>
      <c r="B75">
        <v>56</v>
      </c>
      <c r="C75">
        <v>91</v>
      </c>
      <c r="D75">
        <v>26</v>
      </c>
      <c r="F75">
        <v>881</v>
      </c>
      <c r="G75">
        <v>797.5</v>
      </c>
      <c r="H75">
        <v>820</v>
      </c>
      <c r="I75">
        <v>0.93</v>
      </c>
      <c r="J75">
        <v>12.2</v>
      </c>
      <c r="K75">
        <v>11.05</v>
      </c>
      <c r="L75">
        <v>9.6999999999999993</v>
      </c>
      <c r="M75">
        <v>28.1</v>
      </c>
      <c r="N75">
        <v>30.2</v>
      </c>
    </row>
    <row r="76" spans="1:14" x14ac:dyDescent="0.2">
      <c r="A76" t="s">
        <v>86</v>
      </c>
      <c r="B76">
        <v>57</v>
      </c>
      <c r="C76">
        <v>91</v>
      </c>
      <c r="D76">
        <v>31</v>
      </c>
      <c r="F76">
        <v>978</v>
      </c>
      <c r="G76">
        <v>822.33333330000005</v>
      </c>
      <c r="H76">
        <v>962</v>
      </c>
      <c r="I76">
        <v>0.98</v>
      </c>
      <c r="J76">
        <v>13.6</v>
      </c>
      <c r="K76">
        <v>11.4</v>
      </c>
      <c r="L76">
        <v>10.8</v>
      </c>
      <c r="M76">
        <v>30.7</v>
      </c>
      <c r="N76">
        <v>31.3</v>
      </c>
    </row>
    <row r="77" spans="1:14" x14ac:dyDescent="0.2">
      <c r="A77" t="s">
        <v>87</v>
      </c>
      <c r="B77">
        <v>58</v>
      </c>
      <c r="C77">
        <v>91</v>
      </c>
      <c r="D77">
        <v>20</v>
      </c>
      <c r="F77">
        <v>728</v>
      </c>
      <c r="G77">
        <v>798.16666669999995</v>
      </c>
      <c r="H77">
        <v>684</v>
      </c>
      <c r="I77">
        <v>0.94</v>
      </c>
      <c r="J77">
        <v>10.1</v>
      </c>
      <c r="K77">
        <v>11.06666667</v>
      </c>
      <c r="L77">
        <v>8</v>
      </c>
      <c r="M77">
        <v>26</v>
      </c>
      <c r="N77">
        <v>27.7</v>
      </c>
    </row>
    <row r="78" spans="1:14" x14ac:dyDescent="0.2">
      <c r="A78" t="s">
        <v>88</v>
      </c>
      <c r="B78">
        <v>59</v>
      </c>
      <c r="C78">
        <v>92</v>
      </c>
      <c r="D78">
        <v>24</v>
      </c>
      <c r="F78">
        <v>808</v>
      </c>
      <c r="G78">
        <v>826.66666669999995</v>
      </c>
      <c r="H78">
        <v>757</v>
      </c>
      <c r="I78">
        <v>0.94</v>
      </c>
      <c r="J78">
        <v>11.2</v>
      </c>
      <c r="K78">
        <v>11.46666667</v>
      </c>
      <c r="L78">
        <v>8.8000000000000007</v>
      </c>
      <c r="M78">
        <v>26.7</v>
      </c>
      <c r="N78">
        <v>28.5</v>
      </c>
    </row>
    <row r="79" spans="1:14" x14ac:dyDescent="0.2">
      <c r="A79" t="s">
        <v>89</v>
      </c>
      <c r="B79">
        <v>60</v>
      </c>
      <c r="C79">
        <v>92</v>
      </c>
      <c r="D79">
        <v>24</v>
      </c>
      <c r="F79">
        <v>825</v>
      </c>
      <c r="G79">
        <v>842.66666669999995</v>
      </c>
      <c r="H79">
        <v>777</v>
      </c>
      <c r="I79">
        <v>0.94</v>
      </c>
      <c r="J79">
        <v>11.4</v>
      </c>
      <c r="K79">
        <v>11.68333333</v>
      </c>
      <c r="L79">
        <v>9</v>
      </c>
      <c r="M79">
        <v>26.6</v>
      </c>
      <c r="N79">
        <v>28.2</v>
      </c>
    </row>
    <row r="80" spans="1:14" x14ac:dyDescent="0.2">
      <c r="A80" t="s">
        <v>90</v>
      </c>
      <c r="B80">
        <v>61</v>
      </c>
      <c r="C80">
        <v>91</v>
      </c>
      <c r="D80">
        <v>34</v>
      </c>
      <c r="F80">
        <v>1053</v>
      </c>
      <c r="G80">
        <v>878.83333330000005</v>
      </c>
      <c r="H80">
        <v>1046</v>
      </c>
      <c r="I80">
        <v>0.99</v>
      </c>
      <c r="J80">
        <v>14.6</v>
      </c>
      <c r="K80">
        <v>12.18333333</v>
      </c>
      <c r="L80">
        <v>11.6</v>
      </c>
      <c r="M80">
        <v>30.7</v>
      </c>
      <c r="N80">
        <v>30.9</v>
      </c>
    </row>
    <row r="81" spans="1:14" x14ac:dyDescent="0.2">
      <c r="A81" t="s">
        <v>91</v>
      </c>
      <c r="B81">
        <v>62</v>
      </c>
      <c r="C81">
        <v>90</v>
      </c>
      <c r="D81">
        <v>30</v>
      </c>
      <c r="F81">
        <v>921</v>
      </c>
      <c r="G81">
        <v>885.5</v>
      </c>
      <c r="H81">
        <v>957</v>
      </c>
      <c r="I81">
        <v>1.04</v>
      </c>
      <c r="J81">
        <v>12.8</v>
      </c>
      <c r="K81">
        <v>12.28333333</v>
      </c>
      <c r="L81">
        <v>10.199999999999999</v>
      </c>
      <c r="M81">
        <v>31.7</v>
      </c>
      <c r="N81">
        <v>30.5</v>
      </c>
    </row>
    <row r="82" spans="1:14" x14ac:dyDescent="0.2">
      <c r="A82" t="s">
        <v>92</v>
      </c>
      <c r="B82">
        <v>63</v>
      </c>
      <c r="C82">
        <v>91</v>
      </c>
      <c r="D82">
        <v>30</v>
      </c>
      <c r="F82">
        <v>942</v>
      </c>
      <c r="G82">
        <v>879.5</v>
      </c>
      <c r="H82">
        <v>988</v>
      </c>
      <c r="I82">
        <v>1.05</v>
      </c>
      <c r="J82">
        <v>13.1</v>
      </c>
      <c r="K82">
        <v>12.2</v>
      </c>
      <c r="L82">
        <v>10.3</v>
      </c>
      <c r="M82">
        <v>30.5</v>
      </c>
      <c r="N82">
        <v>29.1</v>
      </c>
    </row>
    <row r="83" spans="1:14" x14ac:dyDescent="0.2">
      <c r="A83" t="s">
        <v>93</v>
      </c>
      <c r="B83">
        <v>65</v>
      </c>
      <c r="C83">
        <v>94</v>
      </c>
      <c r="D83">
        <v>24</v>
      </c>
      <c r="F83">
        <v>848</v>
      </c>
      <c r="G83">
        <v>899.5</v>
      </c>
      <c r="H83">
        <v>845</v>
      </c>
      <c r="I83">
        <v>1</v>
      </c>
      <c r="J83">
        <v>11.8</v>
      </c>
      <c r="K83">
        <v>12.483333330000001</v>
      </c>
      <c r="L83">
        <v>9</v>
      </c>
      <c r="M83">
        <v>27.7</v>
      </c>
      <c r="N83">
        <v>27.8</v>
      </c>
    </row>
    <row r="84" spans="1:14" x14ac:dyDescent="0.2">
      <c r="A84" t="s">
        <v>94</v>
      </c>
      <c r="B84">
        <v>66</v>
      </c>
      <c r="C84">
        <v>95</v>
      </c>
      <c r="D84">
        <v>27</v>
      </c>
      <c r="F84">
        <v>1011</v>
      </c>
      <c r="G84">
        <v>933.33333330000005</v>
      </c>
      <c r="H84">
        <v>957</v>
      </c>
      <c r="I84">
        <v>0.95</v>
      </c>
      <c r="J84">
        <v>14</v>
      </c>
      <c r="K84">
        <v>12.95</v>
      </c>
      <c r="L84">
        <v>10.6</v>
      </c>
      <c r="M84">
        <v>25.7</v>
      </c>
      <c r="N84">
        <v>27.1</v>
      </c>
    </row>
    <row r="85" spans="1:14" x14ac:dyDescent="0.2">
      <c r="A85" t="s">
        <v>95</v>
      </c>
      <c r="B85">
        <v>67</v>
      </c>
      <c r="C85">
        <v>96</v>
      </c>
      <c r="D85">
        <v>26</v>
      </c>
      <c r="F85">
        <v>989</v>
      </c>
      <c r="G85">
        <v>960.66666669999995</v>
      </c>
      <c r="H85">
        <v>910</v>
      </c>
      <c r="I85">
        <v>0.92</v>
      </c>
      <c r="J85">
        <v>13.7</v>
      </c>
      <c r="K85">
        <v>13.33333333</v>
      </c>
      <c r="L85">
        <v>10.3</v>
      </c>
      <c r="M85">
        <v>25</v>
      </c>
      <c r="N85">
        <v>27.1</v>
      </c>
    </row>
    <row r="86" spans="1:14" x14ac:dyDescent="0.2">
      <c r="A86" t="s">
        <v>96</v>
      </c>
      <c r="B86">
        <v>68</v>
      </c>
      <c r="C86">
        <v>96</v>
      </c>
      <c r="D86">
        <v>35</v>
      </c>
      <c r="F86">
        <v>1184</v>
      </c>
      <c r="G86">
        <v>982.5</v>
      </c>
      <c r="H86">
        <v>1144</v>
      </c>
      <c r="I86">
        <v>0.97</v>
      </c>
      <c r="J86">
        <v>16.399999999999999</v>
      </c>
      <c r="K86">
        <v>13.633333329999999</v>
      </c>
      <c r="L86">
        <v>12.3</v>
      </c>
      <c r="M86">
        <v>28.1</v>
      </c>
      <c r="N86">
        <v>29.1</v>
      </c>
    </row>
    <row r="87" spans="1:14" x14ac:dyDescent="0.2">
      <c r="A87" t="s">
        <v>97</v>
      </c>
      <c r="B87">
        <v>69</v>
      </c>
      <c r="C87">
        <v>97</v>
      </c>
      <c r="D87">
        <v>33</v>
      </c>
      <c r="F87">
        <v>1102</v>
      </c>
      <c r="G87">
        <v>1012.666667</v>
      </c>
      <c r="H87">
        <v>1109</v>
      </c>
      <c r="I87">
        <v>1.01</v>
      </c>
      <c r="J87">
        <v>15.3</v>
      </c>
      <c r="K87">
        <v>14.05</v>
      </c>
      <c r="L87">
        <v>11.4</v>
      </c>
      <c r="M87">
        <v>28.8</v>
      </c>
      <c r="N87">
        <v>28.7</v>
      </c>
    </row>
    <row r="88" spans="1:14" x14ac:dyDescent="0.2">
      <c r="A88" t="s">
        <v>98</v>
      </c>
      <c r="B88">
        <v>71</v>
      </c>
      <c r="C88">
        <v>97</v>
      </c>
      <c r="D88">
        <v>29</v>
      </c>
      <c r="F88">
        <v>980</v>
      </c>
      <c r="G88">
        <v>1019</v>
      </c>
      <c r="H88">
        <v>987</v>
      </c>
      <c r="I88">
        <v>1.01</v>
      </c>
      <c r="J88">
        <v>13.6</v>
      </c>
      <c r="K88">
        <v>14.133333329999999</v>
      </c>
      <c r="L88">
        <v>10.1</v>
      </c>
      <c r="M88">
        <v>28.3</v>
      </c>
      <c r="N88">
        <v>28.2</v>
      </c>
    </row>
    <row r="89" spans="1:14" x14ac:dyDescent="0.2">
      <c r="A89" t="s">
        <v>99</v>
      </c>
      <c r="B89">
        <v>71</v>
      </c>
      <c r="C89">
        <v>99</v>
      </c>
      <c r="D89">
        <v>28</v>
      </c>
      <c r="F89">
        <v>1004</v>
      </c>
      <c r="G89">
        <v>1045</v>
      </c>
      <c r="H89">
        <v>980</v>
      </c>
      <c r="I89">
        <v>0.98</v>
      </c>
      <c r="J89">
        <v>13.9</v>
      </c>
      <c r="K89">
        <v>14.483333330000001</v>
      </c>
      <c r="L89">
        <v>10.1</v>
      </c>
      <c r="M89">
        <v>26.6</v>
      </c>
      <c r="N89">
        <v>27.2</v>
      </c>
    </row>
    <row r="90" spans="1:14" x14ac:dyDescent="0.2">
      <c r="A90" t="s">
        <v>100</v>
      </c>
      <c r="B90">
        <v>72</v>
      </c>
      <c r="C90">
        <v>101</v>
      </c>
      <c r="D90">
        <v>31</v>
      </c>
      <c r="F90">
        <v>1145</v>
      </c>
      <c r="G90">
        <v>1067.333333</v>
      </c>
      <c r="H90">
        <v>1113</v>
      </c>
      <c r="I90">
        <v>0.97</v>
      </c>
      <c r="J90">
        <v>15.9</v>
      </c>
      <c r="K90">
        <v>14.8</v>
      </c>
      <c r="L90">
        <v>11.3</v>
      </c>
      <c r="M90">
        <v>25.7</v>
      </c>
      <c r="N90">
        <v>26.5</v>
      </c>
    </row>
    <row r="91" spans="1:14" x14ac:dyDescent="0.2">
      <c r="A91" t="s">
        <v>101</v>
      </c>
      <c r="B91">
        <v>73</v>
      </c>
      <c r="C91">
        <v>103</v>
      </c>
      <c r="D91">
        <v>33</v>
      </c>
      <c r="F91">
        <v>1129</v>
      </c>
      <c r="G91">
        <v>1090.666667</v>
      </c>
      <c r="H91">
        <v>1124</v>
      </c>
      <c r="I91">
        <v>1</v>
      </c>
      <c r="J91">
        <v>15.7</v>
      </c>
      <c r="K91">
        <v>15.133333329999999</v>
      </c>
      <c r="L91">
        <v>11</v>
      </c>
      <c r="M91">
        <v>27.9</v>
      </c>
      <c r="N91">
        <v>28.1</v>
      </c>
    </row>
    <row r="92" spans="1:14" x14ac:dyDescent="0.2">
      <c r="A92" t="s">
        <v>102</v>
      </c>
      <c r="B92">
        <v>75</v>
      </c>
      <c r="C92">
        <v>104</v>
      </c>
      <c r="D92">
        <v>31</v>
      </c>
      <c r="F92">
        <v>1097</v>
      </c>
      <c r="G92">
        <v>1076.166667</v>
      </c>
      <c r="H92">
        <v>1105</v>
      </c>
      <c r="I92">
        <v>1.01</v>
      </c>
      <c r="J92">
        <v>15.2</v>
      </c>
      <c r="K92">
        <v>14.93333333</v>
      </c>
      <c r="L92">
        <v>10.5</v>
      </c>
      <c r="M92">
        <v>27.5</v>
      </c>
      <c r="N92">
        <v>27.3</v>
      </c>
    </row>
    <row r="93" spans="1:14" x14ac:dyDescent="0.2">
      <c r="A93" t="s">
        <v>103</v>
      </c>
      <c r="B93">
        <v>76</v>
      </c>
      <c r="C93">
        <v>103</v>
      </c>
      <c r="D93">
        <v>29</v>
      </c>
      <c r="F93">
        <v>1010</v>
      </c>
      <c r="G93">
        <v>1060.833333</v>
      </c>
      <c r="H93">
        <v>1015</v>
      </c>
      <c r="I93">
        <v>1.01</v>
      </c>
      <c r="J93">
        <v>14</v>
      </c>
      <c r="K93">
        <v>14.71666667</v>
      </c>
      <c r="L93">
        <v>9.8000000000000007</v>
      </c>
      <c r="M93">
        <v>27.9</v>
      </c>
      <c r="N93">
        <v>27.7</v>
      </c>
    </row>
    <row r="94" spans="1:14" x14ac:dyDescent="0.2">
      <c r="A94" t="s">
        <v>104</v>
      </c>
      <c r="B94">
        <v>77</v>
      </c>
      <c r="C94">
        <v>106</v>
      </c>
      <c r="D94">
        <v>28</v>
      </c>
      <c r="F94">
        <v>1028</v>
      </c>
      <c r="G94">
        <v>1068.833333</v>
      </c>
      <c r="H94">
        <v>994</v>
      </c>
      <c r="I94">
        <v>0.97</v>
      </c>
      <c r="J94">
        <v>14.3</v>
      </c>
      <c r="K94">
        <v>14.83333333</v>
      </c>
      <c r="L94">
        <v>9.6999999999999993</v>
      </c>
      <c r="M94">
        <v>25.6</v>
      </c>
      <c r="N94">
        <v>26.5</v>
      </c>
    </row>
    <row r="95" spans="1:14" x14ac:dyDescent="0.2">
      <c r="A95" t="s">
        <v>105</v>
      </c>
      <c r="B95">
        <v>78</v>
      </c>
      <c r="C95">
        <v>106</v>
      </c>
      <c r="D95">
        <v>34</v>
      </c>
      <c r="F95">
        <v>1201</v>
      </c>
      <c r="G95">
        <v>1101.666667</v>
      </c>
      <c r="H95">
        <v>1196</v>
      </c>
      <c r="I95">
        <v>1</v>
      </c>
      <c r="J95">
        <v>16.7</v>
      </c>
      <c r="K95">
        <v>15.3</v>
      </c>
      <c r="L95">
        <v>11.3</v>
      </c>
      <c r="M95">
        <v>27.2</v>
      </c>
      <c r="N95">
        <v>27.3</v>
      </c>
    </row>
    <row r="96" spans="1:14" x14ac:dyDescent="0.2">
      <c r="A96" t="s">
        <v>106</v>
      </c>
      <c r="B96">
        <v>80</v>
      </c>
      <c r="C96">
        <v>106</v>
      </c>
      <c r="D96">
        <v>44</v>
      </c>
      <c r="F96">
        <v>1384</v>
      </c>
      <c r="G96">
        <v>1141.5</v>
      </c>
      <c r="H96">
        <v>1425</v>
      </c>
      <c r="I96">
        <v>1.03</v>
      </c>
      <c r="J96">
        <v>19.2</v>
      </c>
      <c r="K96">
        <v>15.85</v>
      </c>
      <c r="L96">
        <v>13.1</v>
      </c>
      <c r="M96">
        <v>30.1</v>
      </c>
      <c r="N96">
        <v>29.3</v>
      </c>
    </row>
    <row r="97" spans="1:14" x14ac:dyDescent="0.2">
      <c r="A97" t="s">
        <v>107</v>
      </c>
      <c r="B97">
        <v>80</v>
      </c>
      <c r="C97">
        <v>105</v>
      </c>
      <c r="D97">
        <v>34</v>
      </c>
      <c r="F97">
        <v>995</v>
      </c>
      <c r="G97">
        <v>1119.166667</v>
      </c>
      <c r="H97">
        <v>1131</v>
      </c>
      <c r="I97">
        <v>1.1399999999999999</v>
      </c>
      <c r="J97">
        <v>13.8</v>
      </c>
      <c r="K97">
        <v>15.53333333</v>
      </c>
      <c r="L97">
        <v>9.5</v>
      </c>
      <c r="M97">
        <v>33.4</v>
      </c>
      <c r="N97">
        <v>29.4</v>
      </c>
    </row>
    <row r="98" spans="1:14" x14ac:dyDescent="0.2">
      <c r="A98" t="s">
        <v>108</v>
      </c>
      <c r="B98">
        <v>81</v>
      </c>
      <c r="C98">
        <v>105</v>
      </c>
      <c r="D98">
        <v>35</v>
      </c>
      <c r="F98">
        <v>1081</v>
      </c>
      <c r="G98">
        <v>1116.5</v>
      </c>
      <c r="H98">
        <v>1184</v>
      </c>
      <c r="I98">
        <v>1.1000000000000001</v>
      </c>
      <c r="J98">
        <v>15</v>
      </c>
      <c r="K98">
        <v>15.5</v>
      </c>
      <c r="L98">
        <v>10.3</v>
      </c>
      <c r="M98">
        <v>30.3</v>
      </c>
      <c r="N98">
        <v>27.7</v>
      </c>
    </row>
    <row r="99" spans="1:14" x14ac:dyDescent="0.2">
      <c r="A99" t="s">
        <v>109</v>
      </c>
      <c r="B99">
        <v>82</v>
      </c>
      <c r="C99">
        <v>105</v>
      </c>
      <c r="D99">
        <v>36</v>
      </c>
      <c r="F99">
        <v>1149</v>
      </c>
      <c r="G99">
        <v>1139.666667</v>
      </c>
      <c r="H99">
        <v>1226</v>
      </c>
      <c r="I99">
        <v>1.07</v>
      </c>
      <c r="J99">
        <v>15.9</v>
      </c>
      <c r="K99">
        <v>15.81666667</v>
      </c>
      <c r="L99">
        <v>10.9</v>
      </c>
      <c r="M99">
        <v>30.1</v>
      </c>
      <c r="N99">
        <v>28.2</v>
      </c>
    </row>
    <row r="100" spans="1:14" x14ac:dyDescent="0.2">
      <c r="A100" t="s">
        <v>110</v>
      </c>
      <c r="B100">
        <v>83</v>
      </c>
      <c r="C100">
        <v>106</v>
      </c>
      <c r="D100">
        <v>38</v>
      </c>
      <c r="F100">
        <v>1147</v>
      </c>
      <c r="G100">
        <v>1159.5</v>
      </c>
      <c r="H100">
        <v>1258</v>
      </c>
      <c r="I100">
        <v>1.1000000000000001</v>
      </c>
      <c r="J100">
        <v>15.9</v>
      </c>
      <c r="K100">
        <v>16.083333329999999</v>
      </c>
      <c r="L100">
        <v>10.8</v>
      </c>
      <c r="M100">
        <v>31.9</v>
      </c>
      <c r="N100">
        <v>29.1</v>
      </c>
    </row>
    <row r="101" spans="1:14" x14ac:dyDescent="0.2">
      <c r="A101" t="s">
        <v>111</v>
      </c>
      <c r="B101">
        <v>84</v>
      </c>
      <c r="C101">
        <v>106</v>
      </c>
      <c r="D101">
        <v>33</v>
      </c>
      <c r="F101">
        <v>1012</v>
      </c>
      <c r="G101">
        <v>1128</v>
      </c>
      <c r="H101">
        <v>1090</v>
      </c>
      <c r="I101">
        <v>1.08</v>
      </c>
      <c r="J101">
        <v>14</v>
      </c>
      <c r="K101">
        <v>15.633333329999999</v>
      </c>
      <c r="L101">
        <v>9.5</v>
      </c>
      <c r="M101">
        <v>30.9</v>
      </c>
      <c r="N101">
        <v>28.7</v>
      </c>
    </row>
    <row r="102" spans="1:14" x14ac:dyDescent="0.2">
      <c r="A102" t="s">
        <v>112</v>
      </c>
      <c r="B102">
        <v>85</v>
      </c>
      <c r="C102">
        <v>107</v>
      </c>
      <c r="D102">
        <v>35</v>
      </c>
      <c r="F102">
        <v>1171</v>
      </c>
      <c r="G102">
        <v>1092.5</v>
      </c>
      <c r="H102">
        <v>1228</v>
      </c>
      <c r="I102">
        <v>1.05</v>
      </c>
      <c r="J102">
        <v>16.2</v>
      </c>
      <c r="K102">
        <v>15.133333329999999</v>
      </c>
      <c r="L102">
        <v>10.9</v>
      </c>
      <c r="M102">
        <v>28.4</v>
      </c>
      <c r="N102">
        <v>27.1</v>
      </c>
    </row>
    <row r="103" spans="1:14" x14ac:dyDescent="0.2">
      <c r="A103" t="s">
        <v>113</v>
      </c>
      <c r="B103">
        <v>86</v>
      </c>
      <c r="C103">
        <v>108</v>
      </c>
      <c r="D103">
        <v>33</v>
      </c>
      <c r="F103">
        <v>1145</v>
      </c>
      <c r="G103">
        <v>1117.5</v>
      </c>
      <c r="H103">
        <v>1173</v>
      </c>
      <c r="I103">
        <v>1.02</v>
      </c>
      <c r="J103">
        <v>15.9</v>
      </c>
      <c r="K103">
        <v>15.483333330000001</v>
      </c>
      <c r="L103">
        <v>10.6</v>
      </c>
      <c r="M103">
        <v>27.6</v>
      </c>
      <c r="N103">
        <v>26.9</v>
      </c>
    </row>
    <row r="104" spans="1:14" x14ac:dyDescent="0.2">
      <c r="A104" t="s">
        <v>114</v>
      </c>
      <c r="B104">
        <v>87</v>
      </c>
      <c r="C104">
        <v>108</v>
      </c>
      <c r="D104">
        <v>36</v>
      </c>
      <c r="F104">
        <v>1145</v>
      </c>
      <c r="G104">
        <v>1128.166667</v>
      </c>
      <c r="H104">
        <v>1202</v>
      </c>
      <c r="I104">
        <v>1.05</v>
      </c>
      <c r="J104">
        <v>15.9</v>
      </c>
      <c r="K104">
        <v>15.633333329999999</v>
      </c>
      <c r="L104">
        <v>10.6</v>
      </c>
      <c r="M104">
        <v>29.6</v>
      </c>
      <c r="N104">
        <v>28.2</v>
      </c>
    </row>
    <row r="105" spans="1:14" x14ac:dyDescent="0.2">
      <c r="A105" t="s">
        <v>115</v>
      </c>
      <c r="B105">
        <v>88</v>
      </c>
      <c r="C105">
        <v>108</v>
      </c>
      <c r="D105">
        <v>40</v>
      </c>
      <c r="F105">
        <v>1249</v>
      </c>
      <c r="G105">
        <v>1144.833333</v>
      </c>
      <c r="H105">
        <v>1257</v>
      </c>
      <c r="I105">
        <v>1.01</v>
      </c>
      <c r="J105">
        <v>17.3</v>
      </c>
      <c r="K105">
        <v>15.866666670000001</v>
      </c>
      <c r="L105">
        <v>11.6</v>
      </c>
      <c r="M105">
        <v>29.3</v>
      </c>
      <c r="N105">
        <v>29.1</v>
      </c>
    </row>
    <row r="106" spans="1:14" x14ac:dyDescent="0.2">
      <c r="A106" t="s">
        <v>116</v>
      </c>
      <c r="B106">
        <v>89</v>
      </c>
      <c r="C106">
        <v>108</v>
      </c>
      <c r="D106">
        <v>45</v>
      </c>
      <c r="F106">
        <v>1493</v>
      </c>
      <c r="G106">
        <v>1202.5</v>
      </c>
      <c r="H106">
        <v>1535</v>
      </c>
      <c r="I106">
        <v>1.03</v>
      </c>
      <c r="J106">
        <v>20.7</v>
      </c>
      <c r="K106">
        <v>16.666666670000001</v>
      </c>
      <c r="L106">
        <v>13.8</v>
      </c>
      <c r="M106">
        <v>28.7</v>
      </c>
      <c r="N106">
        <v>27.9</v>
      </c>
    </row>
    <row r="107" spans="1:14" x14ac:dyDescent="0.2">
      <c r="A107" t="s">
        <v>117</v>
      </c>
      <c r="B107">
        <v>91</v>
      </c>
      <c r="C107">
        <v>109</v>
      </c>
      <c r="D107">
        <v>42</v>
      </c>
      <c r="F107">
        <v>1208</v>
      </c>
      <c r="G107">
        <v>1235.166667</v>
      </c>
      <c r="H107">
        <v>1371</v>
      </c>
      <c r="I107">
        <v>1.1299999999999999</v>
      </c>
      <c r="J107">
        <v>16.8</v>
      </c>
      <c r="K107">
        <v>17.133333329999999</v>
      </c>
      <c r="L107">
        <v>11.1</v>
      </c>
      <c r="M107">
        <v>33</v>
      </c>
      <c r="N107">
        <v>29.1</v>
      </c>
    </row>
    <row r="108" spans="1:14" x14ac:dyDescent="0.2">
      <c r="A108" t="s">
        <v>118</v>
      </c>
      <c r="B108">
        <v>91</v>
      </c>
      <c r="C108">
        <v>109</v>
      </c>
      <c r="D108">
        <v>40</v>
      </c>
      <c r="F108">
        <v>1199</v>
      </c>
      <c r="G108">
        <v>1239.833333</v>
      </c>
      <c r="H108">
        <v>1359</v>
      </c>
      <c r="I108">
        <v>1.1299999999999999</v>
      </c>
      <c r="J108">
        <v>16.600000000000001</v>
      </c>
      <c r="K108">
        <v>17.2</v>
      </c>
      <c r="L108">
        <v>11</v>
      </c>
      <c r="M108">
        <v>32.4</v>
      </c>
      <c r="N108">
        <v>28.6</v>
      </c>
    </row>
    <row r="109" spans="1:14" x14ac:dyDescent="0.2">
      <c r="A109" t="s">
        <v>119</v>
      </c>
      <c r="B109">
        <v>92</v>
      </c>
      <c r="C109">
        <v>109</v>
      </c>
      <c r="D109">
        <v>38</v>
      </c>
      <c r="F109">
        <v>1139</v>
      </c>
      <c r="G109">
        <v>1238.833333</v>
      </c>
      <c r="H109">
        <v>1274</v>
      </c>
      <c r="I109">
        <v>1.1200000000000001</v>
      </c>
      <c r="J109">
        <v>15.8</v>
      </c>
      <c r="K109">
        <v>17.18333333</v>
      </c>
      <c r="L109">
        <v>10.5</v>
      </c>
      <c r="M109">
        <v>31.4</v>
      </c>
      <c r="N109">
        <v>28.1</v>
      </c>
    </row>
    <row r="110" spans="1:14" x14ac:dyDescent="0.2">
      <c r="A110" t="s">
        <v>120</v>
      </c>
      <c r="B110">
        <v>94</v>
      </c>
      <c r="C110">
        <v>109</v>
      </c>
      <c r="D110">
        <v>39</v>
      </c>
      <c r="F110">
        <v>1209</v>
      </c>
      <c r="G110">
        <v>1249.5</v>
      </c>
      <c r="H110">
        <v>1329</v>
      </c>
      <c r="I110">
        <v>1.1000000000000001</v>
      </c>
      <c r="J110">
        <v>16.8</v>
      </c>
      <c r="K110">
        <v>17.333333329999999</v>
      </c>
      <c r="L110">
        <v>11.1</v>
      </c>
      <c r="M110">
        <v>31.1</v>
      </c>
      <c r="N110">
        <v>28.3</v>
      </c>
    </row>
    <row r="111" spans="1:14" x14ac:dyDescent="0.2">
      <c r="A111" t="s">
        <v>121</v>
      </c>
      <c r="B111">
        <v>94</v>
      </c>
      <c r="C111">
        <v>110</v>
      </c>
      <c r="D111">
        <v>42</v>
      </c>
      <c r="F111">
        <v>1240</v>
      </c>
      <c r="G111">
        <v>1248</v>
      </c>
      <c r="H111">
        <v>1394</v>
      </c>
      <c r="I111">
        <v>1.1200000000000001</v>
      </c>
      <c r="J111">
        <v>17.2</v>
      </c>
      <c r="K111">
        <v>17.31666667</v>
      </c>
      <c r="L111">
        <v>11.3</v>
      </c>
      <c r="M111">
        <v>32.1</v>
      </c>
      <c r="N111">
        <v>28.5</v>
      </c>
    </row>
    <row r="112" spans="1:14" x14ac:dyDescent="0.2">
      <c r="A112" t="s">
        <v>122</v>
      </c>
      <c r="B112">
        <v>96</v>
      </c>
      <c r="C112">
        <v>112</v>
      </c>
      <c r="D112">
        <v>40</v>
      </c>
      <c r="F112">
        <v>1203</v>
      </c>
      <c r="G112">
        <v>1199.666667</v>
      </c>
      <c r="H112">
        <v>1344</v>
      </c>
      <c r="I112">
        <v>1.1200000000000001</v>
      </c>
      <c r="J112">
        <v>16.7</v>
      </c>
      <c r="K112">
        <v>16.649999999999999</v>
      </c>
      <c r="L112">
        <v>10.7</v>
      </c>
      <c r="M112">
        <v>32.1</v>
      </c>
      <c r="N112">
        <v>28.7</v>
      </c>
    </row>
    <row r="113" spans="1:14" x14ac:dyDescent="0.2">
      <c r="A113" t="s">
        <v>123</v>
      </c>
      <c r="B113">
        <v>96</v>
      </c>
      <c r="C113">
        <v>112</v>
      </c>
      <c r="D113">
        <v>45</v>
      </c>
      <c r="F113">
        <v>1346</v>
      </c>
      <c r="G113">
        <v>1222.666667</v>
      </c>
      <c r="H113">
        <v>1477</v>
      </c>
      <c r="I113">
        <v>1.1000000000000001</v>
      </c>
      <c r="J113">
        <v>18.7</v>
      </c>
      <c r="K113">
        <v>16.966666669999999</v>
      </c>
      <c r="L113">
        <v>12</v>
      </c>
      <c r="M113">
        <v>31.8</v>
      </c>
      <c r="N113">
        <v>29</v>
      </c>
    </row>
    <row r="114" spans="1:14" x14ac:dyDescent="0.2">
      <c r="A114" t="s">
        <v>124</v>
      </c>
      <c r="B114">
        <v>97</v>
      </c>
      <c r="C114">
        <v>113</v>
      </c>
      <c r="D114">
        <v>44</v>
      </c>
      <c r="F114">
        <v>1267</v>
      </c>
      <c r="G114">
        <v>1234</v>
      </c>
      <c r="H114">
        <v>1441</v>
      </c>
      <c r="I114">
        <v>1.1399999999999999</v>
      </c>
      <c r="J114">
        <v>17.600000000000001</v>
      </c>
      <c r="K114">
        <v>17.133333329999999</v>
      </c>
      <c r="L114">
        <v>11.2</v>
      </c>
      <c r="M114">
        <v>33.299999999999997</v>
      </c>
      <c r="N114">
        <v>29.3</v>
      </c>
    </row>
    <row r="115" spans="1:14" x14ac:dyDescent="0.2">
      <c r="A115" t="s">
        <v>125</v>
      </c>
      <c r="B115">
        <v>99</v>
      </c>
      <c r="C115">
        <v>114</v>
      </c>
      <c r="D115">
        <v>37</v>
      </c>
      <c r="F115">
        <v>1194</v>
      </c>
      <c r="G115">
        <v>1243.166667</v>
      </c>
      <c r="H115">
        <v>1292</v>
      </c>
      <c r="I115">
        <v>1.08</v>
      </c>
      <c r="J115">
        <v>16.600000000000001</v>
      </c>
      <c r="K115">
        <v>17.266666669999999</v>
      </c>
      <c r="L115">
        <v>10.5</v>
      </c>
      <c r="M115">
        <v>29.6</v>
      </c>
      <c r="N115">
        <v>27.4</v>
      </c>
    </row>
    <row r="116" spans="1:14" x14ac:dyDescent="0.2">
      <c r="A116" t="s">
        <v>126</v>
      </c>
      <c r="B116">
        <v>100</v>
      </c>
      <c r="C116">
        <v>115</v>
      </c>
      <c r="D116">
        <v>44</v>
      </c>
      <c r="F116">
        <v>1298</v>
      </c>
      <c r="G116">
        <v>1258</v>
      </c>
      <c r="H116">
        <v>1463</v>
      </c>
      <c r="I116">
        <v>1.1299999999999999</v>
      </c>
      <c r="J116">
        <v>18</v>
      </c>
      <c r="K116">
        <v>17.466666669999999</v>
      </c>
      <c r="L116">
        <v>11.3</v>
      </c>
      <c r="M116">
        <v>32.9</v>
      </c>
      <c r="N116">
        <v>29.2</v>
      </c>
    </row>
    <row r="117" spans="1:14" x14ac:dyDescent="0.2">
      <c r="A117" t="s">
        <v>127</v>
      </c>
      <c r="B117">
        <v>101</v>
      </c>
      <c r="C117">
        <v>116</v>
      </c>
      <c r="D117">
        <v>41</v>
      </c>
      <c r="F117">
        <v>1236</v>
      </c>
      <c r="G117">
        <v>1257.333333</v>
      </c>
      <c r="H117">
        <v>1395</v>
      </c>
      <c r="I117">
        <v>1.1299999999999999</v>
      </c>
      <c r="J117">
        <v>17.100000000000001</v>
      </c>
      <c r="K117">
        <v>17.45</v>
      </c>
      <c r="L117">
        <v>10.7</v>
      </c>
      <c r="M117">
        <v>32.1</v>
      </c>
      <c r="N117">
        <v>28.5</v>
      </c>
    </row>
    <row r="118" spans="1:14" x14ac:dyDescent="0.2">
      <c r="A118" t="s">
        <v>128</v>
      </c>
      <c r="B118">
        <v>101</v>
      </c>
      <c r="C118">
        <v>117</v>
      </c>
      <c r="D118">
        <v>41</v>
      </c>
      <c r="F118">
        <v>1274</v>
      </c>
      <c r="G118">
        <v>1269.166667</v>
      </c>
      <c r="H118">
        <v>1422</v>
      </c>
      <c r="I118">
        <v>1.1200000000000001</v>
      </c>
      <c r="J118">
        <v>17.7</v>
      </c>
      <c r="K118">
        <v>17.616666670000001</v>
      </c>
      <c r="L118">
        <v>10.9</v>
      </c>
      <c r="M118">
        <v>31.2</v>
      </c>
      <c r="N118">
        <v>28</v>
      </c>
    </row>
    <row r="119" spans="1:14" x14ac:dyDescent="0.2">
      <c r="A119" t="s">
        <v>129</v>
      </c>
      <c r="B119">
        <v>103</v>
      </c>
      <c r="C119">
        <v>119</v>
      </c>
      <c r="D119">
        <v>42</v>
      </c>
      <c r="F119">
        <v>1277</v>
      </c>
      <c r="G119">
        <v>1257.666667</v>
      </c>
      <c r="H119">
        <v>1433</v>
      </c>
      <c r="I119">
        <v>1.1200000000000001</v>
      </c>
      <c r="J119">
        <v>17.7</v>
      </c>
      <c r="K119">
        <v>17.45</v>
      </c>
      <c r="L119">
        <v>10.7</v>
      </c>
      <c r="M119">
        <v>31.6</v>
      </c>
      <c r="N119">
        <v>28.2</v>
      </c>
    </row>
    <row r="120" spans="1:14" x14ac:dyDescent="0.2">
      <c r="A120" t="s">
        <v>130</v>
      </c>
      <c r="B120">
        <v>104</v>
      </c>
      <c r="C120">
        <v>113</v>
      </c>
      <c r="D120">
        <v>45</v>
      </c>
      <c r="F120">
        <v>1377</v>
      </c>
      <c r="G120">
        <v>1276</v>
      </c>
      <c r="H120">
        <v>1526</v>
      </c>
      <c r="I120">
        <v>1.1100000000000001</v>
      </c>
      <c r="J120">
        <v>19.100000000000001</v>
      </c>
      <c r="K120">
        <v>17.7</v>
      </c>
      <c r="L120">
        <v>12.2</v>
      </c>
      <c r="M120">
        <v>30.9</v>
      </c>
      <c r="N120">
        <v>27.9</v>
      </c>
    </row>
    <row r="121" spans="1:14" x14ac:dyDescent="0.2">
      <c r="A121" t="s">
        <v>131</v>
      </c>
      <c r="B121">
        <v>105</v>
      </c>
      <c r="C121">
        <v>121</v>
      </c>
      <c r="D121">
        <v>46</v>
      </c>
      <c r="F121">
        <v>1346</v>
      </c>
      <c r="G121">
        <v>1301.333333</v>
      </c>
      <c r="H121">
        <v>1550</v>
      </c>
      <c r="I121">
        <v>1.1499999999999999</v>
      </c>
      <c r="J121">
        <v>18.7</v>
      </c>
      <c r="K121">
        <v>18.05</v>
      </c>
      <c r="L121">
        <v>11.1</v>
      </c>
      <c r="M121">
        <v>32.5</v>
      </c>
      <c r="N121">
        <v>28.3</v>
      </c>
    </row>
    <row r="122" spans="1:14" x14ac:dyDescent="0.2">
      <c r="A122" t="s">
        <v>132</v>
      </c>
      <c r="B122">
        <v>106</v>
      </c>
      <c r="C122">
        <v>121</v>
      </c>
      <c r="D122">
        <v>44</v>
      </c>
      <c r="F122">
        <v>1296</v>
      </c>
      <c r="G122">
        <v>1301</v>
      </c>
      <c r="H122">
        <v>1524</v>
      </c>
      <c r="I122">
        <v>1.18</v>
      </c>
      <c r="J122">
        <v>18</v>
      </c>
      <c r="K122">
        <v>18.05</v>
      </c>
      <c r="L122">
        <v>10.7</v>
      </c>
      <c r="M122">
        <v>32.5</v>
      </c>
      <c r="N122">
        <v>27.7</v>
      </c>
    </row>
    <row r="123" spans="1:14" x14ac:dyDescent="0.2">
      <c r="A123" t="s">
        <v>133</v>
      </c>
      <c r="B123">
        <v>107</v>
      </c>
      <c r="C123">
        <v>121</v>
      </c>
      <c r="D123">
        <v>51</v>
      </c>
      <c r="F123">
        <v>1372</v>
      </c>
      <c r="G123">
        <v>1323.666667</v>
      </c>
      <c r="H123">
        <v>1634</v>
      </c>
      <c r="I123">
        <v>1.19</v>
      </c>
      <c r="J123">
        <v>19</v>
      </c>
      <c r="K123">
        <v>18.366666670000001</v>
      </c>
      <c r="L123">
        <v>11.3</v>
      </c>
      <c r="M123">
        <v>35.6</v>
      </c>
      <c r="N123">
        <v>29.9</v>
      </c>
    </row>
    <row r="124" spans="1:14" x14ac:dyDescent="0.2">
      <c r="A124" t="s">
        <v>134</v>
      </c>
      <c r="B124">
        <v>109</v>
      </c>
      <c r="C124">
        <v>122</v>
      </c>
      <c r="D124">
        <v>49</v>
      </c>
      <c r="F124">
        <v>1360</v>
      </c>
      <c r="G124">
        <v>1338</v>
      </c>
      <c r="H124">
        <v>1601</v>
      </c>
      <c r="I124">
        <v>1.18</v>
      </c>
      <c r="J124">
        <v>18.899999999999999</v>
      </c>
      <c r="K124">
        <v>18.56666667</v>
      </c>
      <c r="L124">
        <v>11.2</v>
      </c>
      <c r="M124">
        <v>34.5</v>
      </c>
      <c r="N124">
        <v>29.3</v>
      </c>
    </row>
    <row r="125" spans="1:14" x14ac:dyDescent="0.2">
      <c r="A125" t="s">
        <v>135</v>
      </c>
      <c r="B125">
        <v>109</v>
      </c>
      <c r="C125">
        <v>123</v>
      </c>
      <c r="D125">
        <v>45</v>
      </c>
      <c r="F125">
        <v>1289</v>
      </c>
      <c r="G125">
        <v>1340</v>
      </c>
      <c r="H125">
        <v>1537</v>
      </c>
      <c r="I125">
        <v>1.19</v>
      </c>
      <c r="J125">
        <v>17.899999999999999</v>
      </c>
      <c r="K125">
        <v>18.600000000000001</v>
      </c>
      <c r="L125">
        <v>10.5</v>
      </c>
      <c r="M125">
        <v>34</v>
      </c>
      <c r="N125">
        <v>28.5</v>
      </c>
    </row>
    <row r="126" spans="1:14" x14ac:dyDescent="0.2">
      <c r="A126" t="s">
        <v>136</v>
      </c>
      <c r="B126">
        <v>110</v>
      </c>
      <c r="C126">
        <v>123</v>
      </c>
      <c r="D126">
        <v>50</v>
      </c>
      <c r="F126">
        <v>1362</v>
      </c>
      <c r="G126">
        <v>1337.5</v>
      </c>
      <c r="H126">
        <v>1632</v>
      </c>
      <c r="I126">
        <v>1.2</v>
      </c>
      <c r="J126">
        <v>18.899999999999999</v>
      </c>
      <c r="K126">
        <v>18.56666667</v>
      </c>
      <c r="L126">
        <v>11.1</v>
      </c>
      <c r="M126">
        <v>35.1</v>
      </c>
      <c r="N126">
        <v>29.3</v>
      </c>
    </row>
    <row r="127" spans="1:14" x14ac:dyDescent="0.2">
      <c r="A127" t="s">
        <v>137</v>
      </c>
      <c r="B127">
        <v>111</v>
      </c>
      <c r="C127">
        <v>125</v>
      </c>
      <c r="D127">
        <v>48</v>
      </c>
      <c r="F127">
        <v>1362</v>
      </c>
      <c r="G127">
        <v>1340.166667</v>
      </c>
      <c r="H127">
        <v>1617</v>
      </c>
      <c r="I127">
        <v>1.19</v>
      </c>
      <c r="J127">
        <v>18.899999999999999</v>
      </c>
      <c r="K127">
        <v>18.600000000000001</v>
      </c>
      <c r="L127">
        <v>10.9</v>
      </c>
      <c r="M127">
        <v>33.700000000000003</v>
      </c>
      <c r="N127">
        <v>28.4</v>
      </c>
    </row>
    <row r="128" spans="1:14" x14ac:dyDescent="0.2">
      <c r="A128" t="s">
        <v>138</v>
      </c>
      <c r="B128">
        <v>112</v>
      </c>
      <c r="C128">
        <v>127</v>
      </c>
      <c r="D128">
        <v>50</v>
      </c>
      <c r="F128">
        <v>1378</v>
      </c>
      <c r="G128">
        <v>1353.833333</v>
      </c>
      <c r="H128">
        <v>1658</v>
      </c>
      <c r="I128">
        <v>1.2</v>
      </c>
      <c r="J128">
        <v>19.100000000000001</v>
      </c>
      <c r="K128">
        <v>18.783333330000001</v>
      </c>
      <c r="L128">
        <v>10.8</v>
      </c>
      <c r="M128">
        <v>34.5</v>
      </c>
      <c r="N128">
        <v>28.6</v>
      </c>
    </row>
    <row r="129" spans="1:14" x14ac:dyDescent="0.2">
      <c r="A129" t="s">
        <v>139</v>
      </c>
      <c r="B129">
        <v>113</v>
      </c>
      <c r="C129">
        <v>128</v>
      </c>
      <c r="D129">
        <v>51</v>
      </c>
      <c r="F129">
        <v>1400</v>
      </c>
      <c r="G129">
        <v>1358.5</v>
      </c>
      <c r="H129">
        <v>1661</v>
      </c>
      <c r="I129">
        <v>1.19</v>
      </c>
      <c r="J129">
        <v>19.399999999999999</v>
      </c>
      <c r="K129">
        <v>18.850000000000001</v>
      </c>
      <c r="L129">
        <v>10.9</v>
      </c>
      <c r="M129">
        <v>34.700000000000003</v>
      </c>
      <c r="N129">
        <v>29.2</v>
      </c>
    </row>
    <row r="130" spans="1:14" x14ac:dyDescent="0.2">
      <c r="A130" t="s">
        <v>140</v>
      </c>
      <c r="B130">
        <v>114</v>
      </c>
      <c r="C130">
        <v>129</v>
      </c>
      <c r="D130">
        <v>54</v>
      </c>
      <c r="F130">
        <v>1468</v>
      </c>
      <c r="G130">
        <v>1376.5</v>
      </c>
      <c r="H130">
        <v>1758</v>
      </c>
      <c r="I130">
        <v>1.2</v>
      </c>
      <c r="J130">
        <v>20.399999999999999</v>
      </c>
      <c r="K130">
        <v>19.100000000000001</v>
      </c>
      <c r="L130">
        <v>11.4</v>
      </c>
      <c r="M130">
        <v>35.4</v>
      </c>
      <c r="N130">
        <v>29.6</v>
      </c>
    </row>
    <row r="131" spans="1:14" x14ac:dyDescent="0.2">
      <c r="A131" t="s">
        <v>141</v>
      </c>
      <c r="B131">
        <v>116</v>
      </c>
      <c r="C131">
        <v>130</v>
      </c>
      <c r="D131">
        <v>51</v>
      </c>
      <c r="F131">
        <v>1357</v>
      </c>
      <c r="G131">
        <v>1387.833333</v>
      </c>
      <c r="H131">
        <v>1651</v>
      </c>
      <c r="I131">
        <v>1.22</v>
      </c>
      <c r="J131">
        <v>18.8</v>
      </c>
      <c r="K131">
        <v>19.25</v>
      </c>
      <c r="L131">
        <v>10.4</v>
      </c>
      <c r="M131">
        <v>35.799999999999997</v>
      </c>
      <c r="N131">
        <v>29.4</v>
      </c>
    </row>
    <row r="132" spans="1:14" x14ac:dyDescent="0.2">
      <c r="A132" t="s">
        <v>142</v>
      </c>
      <c r="B132">
        <v>117</v>
      </c>
      <c r="C132">
        <v>130</v>
      </c>
      <c r="D132">
        <v>51</v>
      </c>
      <c r="F132">
        <v>1410</v>
      </c>
      <c r="G132">
        <v>1395.833333</v>
      </c>
      <c r="H132">
        <v>1668</v>
      </c>
      <c r="I132">
        <v>1.18</v>
      </c>
      <c r="J132">
        <v>19.600000000000001</v>
      </c>
      <c r="K132">
        <v>19.366666670000001</v>
      </c>
      <c r="L132">
        <v>10.8</v>
      </c>
      <c r="M132">
        <v>34.4</v>
      </c>
      <c r="N132">
        <v>29</v>
      </c>
    </row>
    <row r="133" spans="1:14" x14ac:dyDescent="0.2">
      <c r="A133" t="s">
        <v>143</v>
      </c>
      <c r="B133">
        <v>117</v>
      </c>
      <c r="C133">
        <v>130</v>
      </c>
      <c r="D133">
        <v>55</v>
      </c>
      <c r="F133">
        <v>1463</v>
      </c>
      <c r="G133">
        <v>1412.666667</v>
      </c>
      <c r="H133">
        <v>1778</v>
      </c>
      <c r="I133">
        <v>1.22</v>
      </c>
      <c r="J133">
        <v>20.3</v>
      </c>
      <c r="K133">
        <v>19.600000000000001</v>
      </c>
      <c r="L133">
        <v>11.3</v>
      </c>
      <c r="M133">
        <v>36.299999999999997</v>
      </c>
      <c r="N133">
        <v>29.9</v>
      </c>
    </row>
    <row r="134" spans="1:14" x14ac:dyDescent="0.2">
      <c r="A134" t="s">
        <v>144</v>
      </c>
      <c r="B134">
        <v>119</v>
      </c>
      <c r="C134">
        <v>132</v>
      </c>
      <c r="D134">
        <v>51</v>
      </c>
      <c r="F134">
        <v>1396</v>
      </c>
      <c r="G134">
        <v>1415.666667</v>
      </c>
      <c r="H134">
        <v>1710</v>
      </c>
      <c r="I134">
        <v>1.22</v>
      </c>
      <c r="J134">
        <v>19.399999999999999</v>
      </c>
      <c r="K134">
        <v>19.649999999999999</v>
      </c>
      <c r="L134">
        <v>10.6</v>
      </c>
      <c r="M134">
        <v>35.299999999999997</v>
      </c>
      <c r="N134">
        <v>28.8</v>
      </c>
    </row>
    <row r="135" spans="1:14" x14ac:dyDescent="0.2">
      <c r="A135" t="s">
        <v>145</v>
      </c>
      <c r="B135">
        <v>120</v>
      </c>
      <c r="C135">
        <v>133</v>
      </c>
      <c r="D135">
        <v>55</v>
      </c>
      <c r="F135">
        <v>1451</v>
      </c>
      <c r="G135">
        <v>1424.166667</v>
      </c>
      <c r="H135">
        <v>1775</v>
      </c>
      <c r="I135">
        <v>1.22</v>
      </c>
      <c r="J135">
        <v>20.100000000000001</v>
      </c>
      <c r="K135">
        <v>19.766666669999999</v>
      </c>
      <c r="L135">
        <v>10.9</v>
      </c>
      <c r="M135">
        <v>36.200000000000003</v>
      </c>
      <c r="N135">
        <v>29.6</v>
      </c>
    </row>
    <row r="136" spans="1:14" x14ac:dyDescent="0.2">
      <c r="A136" t="s">
        <v>146</v>
      </c>
      <c r="B136">
        <v>121</v>
      </c>
      <c r="C136">
        <v>133</v>
      </c>
      <c r="D136">
        <v>60</v>
      </c>
      <c r="F136">
        <v>1494</v>
      </c>
      <c r="G136">
        <v>1428.5</v>
      </c>
      <c r="H136">
        <v>1851</v>
      </c>
      <c r="I136">
        <v>1.24</v>
      </c>
      <c r="J136">
        <v>20.7</v>
      </c>
      <c r="K136">
        <v>19.81666667</v>
      </c>
      <c r="L136">
        <v>11.2</v>
      </c>
      <c r="M136">
        <v>38.6</v>
      </c>
      <c r="N136">
        <v>31.1</v>
      </c>
    </row>
    <row r="137" spans="1:14" x14ac:dyDescent="0.2">
      <c r="A137" t="s">
        <v>147</v>
      </c>
      <c r="B137">
        <v>122</v>
      </c>
      <c r="C137">
        <v>133</v>
      </c>
      <c r="D137">
        <v>56</v>
      </c>
      <c r="F137">
        <v>1365</v>
      </c>
      <c r="G137">
        <v>1429.833333</v>
      </c>
      <c r="H137">
        <v>1706</v>
      </c>
      <c r="I137">
        <v>1.25</v>
      </c>
      <c r="J137">
        <v>18.899999999999999</v>
      </c>
      <c r="K137">
        <v>19.833333329999999</v>
      </c>
      <c r="L137">
        <v>10.3</v>
      </c>
      <c r="M137">
        <v>39.200000000000003</v>
      </c>
      <c r="N137">
        <v>31.3</v>
      </c>
    </row>
    <row r="138" spans="1:14" x14ac:dyDescent="0.2">
      <c r="A138" t="s">
        <v>148</v>
      </c>
      <c r="B138">
        <v>122</v>
      </c>
      <c r="C138">
        <v>135</v>
      </c>
      <c r="D138">
        <v>57</v>
      </c>
      <c r="F138">
        <v>1468</v>
      </c>
      <c r="G138">
        <v>1439.5</v>
      </c>
      <c r="H138">
        <v>1792</v>
      </c>
      <c r="I138">
        <v>1.22</v>
      </c>
      <c r="J138">
        <v>20.399999999999999</v>
      </c>
      <c r="K138">
        <v>19.966666669999999</v>
      </c>
      <c r="L138">
        <v>10.9</v>
      </c>
      <c r="M138">
        <v>37.1</v>
      </c>
      <c r="N138">
        <v>30.4</v>
      </c>
    </row>
    <row r="139" spans="1:14" x14ac:dyDescent="0.2">
      <c r="A139" t="s">
        <v>149</v>
      </c>
      <c r="B139">
        <v>124</v>
      </c>
      <c r="C139">
        <v>129</v>
      </c>
      <c r="D139">
        <v>58</v>
      </c>
      <c r="F139">
        <v>1446</v>
      </c>
      <c r="G139">
        <v>1436.666667</v>
      </c>
      <c r="H139">
        <v>1817</v>
      </c>
      <c r="I139">
        <v>1.26</v>
      </c>
      <c r="J139">
        <v>20.100000000000001</v>
      </c>
      <c r="K139">
        <v>19.93333333</v>
      </c>
      <c r="L139">
        <v>11.2</v>
      </c>
      <c r="M139">
        <v>38.700000000000003</v>
      </c>
      <c r="N139">
        <v>30.8</v>
      </c>
    </row>
    <row r="140" spans="1:14" x14ac:dyDescent="0.2">
      <c r="A140" t="s">
        <v>150</v>
      </c>
      <c r="B140">
        <v>125</v>
      </c>
      <c r="C140">
        <v>132</v>
      </c>
      <c r="D140">
        <v>58</v>
      </c>
      <c r="F140">
        <v>1410</v>
      </c>
      <c r="G140">
        <v>1439</v>
      </c>
      <c r="H140">
        <v>1750</v>
      </c>
      <c r="I140">
        <v>1.24</v>
      </c>
      <c r="J140">
        <v>19.600000000000001</v>
      </c>
      <c r="K140">
        <v>19.966666669999999</v>
      </c>
      <c r="L140">
        <v>10.7</v>
      </c>
      <c r="M140">
        <v>39.4</v>
      </c>
      <c r="N140">
        <v>31.7</v>
      </c>
    </row>
    <row r="141" spans="1:14" x14ac:dyDescent="0.2">
      <c r="A141" t="s">
        <v>151</v>
      </c>
      <c r="B141">
        <v>126</v>
      </c>
      <c r="C141">
        <v>140</v>
      </c>
      <c r="D141">
        <v>53</v>
      </c>
      <c r="F141">
        <v>1420</v>
      </c>
      <c r="G141">
        <v>1433.833333</v>
      </c>
      <c r="H141">
        <v>1740</v>
      </c>
      <c r="I141">
        <v>1.22</v>
      </c>
      <c r="J141">
        <v>19.7</v>
      </c>
      <c r="K141">
        <v>19.899999999999999</v>
      </c>
      <c r="L141">
        <v>10.1</v>
      </c>
      <c r="M141">
        <v>35.5</v>
      </c>
      <c r="N141">
        <v>29</v>
      </c>
    </row>
    <row r="142" spans="1:14" x14ac:dyDescent="0.2">
      <c r="A142" t="s">
        <v>152</v>
      </c>
      <c r="B142">
        <v>127</v>
      </c>
      <c r="C142">
        <v>141</v>
      </c>
      <c r="D142">
        <v>58</v>
      </c>
      <c r="F142">
        <v>1591</v>
      </c>
      <c r="G142">
        <v>1450</v>
      </c>
      <c r="H142">
        <v>1891</v>
      </c>
      <c r="I142">
        <v>1.19</v>
      </c>
      <c r="J142">
        <v>22.1</v>
      </c>
      <c r="K142">
        <v>20.133333329999999</v>
      </c>
      <c r="L142">
        <v>11.3</v>
      </c>
      <c r="M142">
        <v>35</v>
      </c>
      <c r="N142">
        <v>29.5</v>
      </c>
    </row>
    <row r="143" spans="1:14" x14ac:dyDescent="0.2">
      <c r="A143" t="s">
        <v>153</v>
      </c>
      <c r="B143">
        <v>128</v>
      </c>
      <c r="C143">
        <v>141</v>
      </c>
      <c r="D143">
        <v>70</v>
      </c>
      <c r="F143">
        <v>1724</v>
      </c>
      <c r="G143">
        <v>1509.833333</v>
      </c>
      <c r="H143">
        <v>2070</v>
      </c>
      <c r="I143">
        <v>1.2</v>
      </c>
      <c r="J143">
        <v>23.9</v>
      </c>
      <c r="K143">
        <v>20.966666669999999</v>
      </c>
      <c r="L143">
        <v>12.2</v>
      </c>
      <c r="M143">
        <v>39</v>
      </c>
      <c r="N143">
        <v>32.5</v>
      </c>
    </row>
    <row r="144" spans="1:14" x14ac:dyDescent="0.2">
      <c r="A144" t="s">
        <v>154</v>
      </c>
      <c r="B144">
        <v>129</v>
      </c>
      <c r="C144">
        <v>145</v>
      </c>
      <c r="D144">
        <v>64</v>
      </c>
      <c r="F144">
        <v>1528</v>
      </c>
      <c r="G144">
        <v>1519.833333</v>
      </c>
      <c r="H144">
        <v>1905</v>
      </c>
      <c r="I144">
        <v>1.25</v>
      </c>
      <c r="J144">
        <v>21.2</v>
      </c>
      <c r="K144">
        <v>21.1</v>
      </c>
      <c r="L144">
        <v>10.5</v>
      </c>
      <c r="M144">
        <v>39.799999999999997</v>
      </c>
      <c r="N144">
        <v>31.9</v>
      </c>
    </row>
    <row r="145" spans="1:14" x14ac:dyDescent="0.2">
      <c r="A145" t="s">
        <v>155</v>
      </c>
      <c r="B145">
        <v>130</v>
      </c>
      <c r="C145">
        <v>145</v>
      </c>
      <c r="D145">
        <v>69</v>
      </c>
      <c r="F145">
        <v>1592</v>
      </c>
      <c r="G145">
        <v>1544.166667</v>
      </c>
      <c r="H145">
        <v>2042</v>
      </c>
      <c r="I145">
        <v>1.28</v>
      </c>
      <c r="J145">
        <v>22.1</v>
      </c>
      <c r="K145">
        <v>21.43333333</v>
      </c>
      <c r="L145">
        <v>11</v>
      </c>
      <c r="M145">
        <v>41.6</v>
      </c>
      <c r="N145">
        <v>32.4</v>
      </c>
    </row>
    <row r="146" spans="1:14" x14ac:dyDescent="0.2">
      <c r="A146" t="s">
        <v>156</v>
      </c>
      <c r="B146">
        <v>131</v>
      </c>
      <c r="C146">
        <v>145</v>
      </c>
      <c r="D146">
        <v>68</v>
      </c>
      <c r="F146">
        <v>1542</v>
      </c>
      <c r="G146">
        <v>1566.166667</v>
      </c>
      <c r="H146">
        <v>1955</v>
      </c>
      <c r="I146">
        <v>1.27</v>
      </c>
      <c r="J146">
        <v>21.4</v>
      </c>
      <c r="K146">
        <v>21.733333330000001</v>
      </c>
      <c r="L146">
        <v>10.6</v>
      </c>
      <c r="M146">
        <v>42</v>
      </c>
      <c r="N146">
        <v>33.1</v>
      </c>
    </row>
    <row r="147" spans="1:14" x14ac:dyDescent="0.2">
      <c r="A147" t="s">
        <v>157</v>
      </c>
      <c r="B147">
        <v>132</v>
      </c>
      <c r="C147">
        <v>146</v>
      </c>
      <c r="D147">
        <v>79</v>
      </c>
      <c r="F147">
        <v>1657</v>
      </c>
      <c r="G147">
        <v>1605.666667</v>
      </c>
      <c r="H147">
        <v>2140</v>
      </c>
      <c r="I147">
        <v>1.29</v>
      </c>
      <c r="J147">
        <v>23</v>
      </c>
      <c r="K147">
        <v>22.283333330000001</v>
      </c>
      <c r="L147">
        <v>11.3</v>
      </c>
      <c r="M147">
        <v>45.5</v>
      </c>
      <c r="N147">
        <v>35.200000000000003</v>
      </c>
    </row>
    <row r="148" spans="1:14" x14ac:dyDescent="0.2">
      <c r="A148" t="s">
        <v>158</v>
      </c>
      <c r="B148">
        <v>133</v>
      </c>
      <c r="C148">
        <v>148</v>
      </c>
      <c r="D148">
        <v>84</v>
      </c>
      <c r="F148">
        <v>1617</v>
      </c>
      <c r="G148">
        <v>1610</v>
      </c>
      <c r="H148">
        <v>2170</v>
      </c>
      <c r="I148">
        <v>1.34</v>
      </c>
      <c r="J148">
        <v>22.4</v>
      </c>
      <c r="K148">
        <v>22.333333329999999</v>
      </c>
      <c r="L148">
        <v>10.9</v>
      </c>
      <c r="M148">
        <v>49.7</v>
      </c>
      <c r="N148">
        <v>37</v>
      </c>
    </row>
    <row r="149" spans="1:14" x14ac:dyDescent="0.2">
      <c r="A149" t="s">
        <v>159</v>
      </c>
      <c r="B149">
        <v>134</v>
      </c>
      <c r="C149">
        <v>149</v>
      </c>
      <c r="D149">
        <v>83</v>
      </c>
      <c r="F149">
        <v>1596</v>
      </c>
      <c r="G149">
        <v>1588.666667</v>
      </c>
      <c r="H149">
        <v>2149</v>
      </c>
      <c r="I149">
        <v>1.35</v>
      </c>
      <c r="J149">
        <v>22.1</v>
      </c>
      <c r="K149">
        <v>22.033333330000001</v>
      </c>
      <c r="L149">
        <v>10.7</v>
      </c>
      <c r="M149">
        <v>49.2</v>
      </c>
      <c r="N149">
        <v>36.6</v>
      </c>
    </row>
    <row r="150" spans="1:14" x14ac:dyDescent="0.2">
      <c r="A150" t="s">
        <v>160</v>
      </c>
      <c r="B150">
        <v>136</v>
      </c>
      <c r="C150">
        <v>149</v>
      </c>
      <c r="D150">
        <v>75</v>
      </c>
      <c r="F150">
        <v>1531</v>
      </c>
      <c r="G150">
        <v>1589.166667</v>
      </c>
      <c r="H150">
        <v>2041</v>
      </c>
      <c r="I150">
        <v>1.33</v>
      </c>
      <c r="J150">
        <v>21.2</v>
      </c>
      <c r="K150">
        <v>22.033333330000001</v>
      </c>
      <c r="L150">
        <v>10.3</v>
      </c>
      <c r="M150">
        <v>46.6</v>
      </c>
      <c r="N150">
        <v>35</v>
      </c>
    </row>
    <row r="151" spans="1:14" x14ac:dyDescent="0.2">
      <c r="A151" t="s">
        <v>161</v>
      </c>
      <c r="B151">
        <v>0</v>
      </c>
      <c r="C151">
        <v>146</v>
      </c>
      <c r="D151">
        <v>67</v>
      </c>
      <c r="F151">
        <v>1464</v>
      </c>
      <c r="H151">
        <v>1921</v>
      </c>
      <c r="I151">
        <v>1.31</v>
      </c>
      <c r="J151">
        <v>20.3</v>
      </c>
      <c r="L151">
        <v>10</v>
      </c>
      <c r="M151">
        <v>43.5</v>
      </c>
      <c r="N151">
        <v>33.200000000000003</v>
      </c>
    </row>
    <row r="152" spans="1:14" x14ac:dyDescent="0.2">
      <c r="A152" t="s">
        <v>162</v>
      </c>
      <c r="B152">
        <v>25</v>
      </c>
      <c r="C152">
        <v>141</v>
      </c>
      <c r="D152">
        <v>60</v>
      </c>
      <c r="F152">
        <v>1374</v>
      </c>
      <c r="H152">
        <v>1774</v>
      </c>
      <c r="I152">
        <v>1.29</v>
      </c>
      <c r="J152">
        <v>19.100000000000001</v>
      </c>
      <c r="L152">
        <v>9.6999999999999993</v>
      </c>
      <c r="M152">
        <v>41.8</v>
      </c>
      <c r="N152">
        <v>32.4</v>
      </c>
    </row>
    <row r="153" spans="1:14" x14ac:dyDescent="0.2">
      <c r="A153" t="s">
        <v>163</v>
      </c>
      <c r="B153">
        <v>25</v>
      </c>
      <c r="C153">
        <v>138</v>
      </c>
      <c r="D153">
        <v>58</v>
      </c>
      <c r="F153">
        <v>1317</v>
      </c>
      <c r="H153">
        <v>1661</v>
      </c>
      <c r="I153">
        <v>1.26</v>
      </c>
      <c r="J153">
        <v>18.3</v>
      </c>
      <c r="L153">
        <v>9.5</v>
      </c>
      <c r="M153">
        <v>41.7</v>
      </c>
      <c r="N153">
        <v>33.1</v>
      </c>
    </row>
    <row r="154" spans="1:14" x14ac:dyDescent="0.2">
      <c r="A154" t="s">
        <v>164</v>
      </c>
      <c r="B154">
        <v>25</v>
      </c>
      <c r="C154">
        <v>137</v>
      </c>
      <c r="D154">
        <v>53</v>
      </c>
      <c r="F154">
        <v>1197</v>
      </c>
      <c r="H154">
        <v>1551</v>
      </c>
      <c r="I154">
        <v>1.3</v>
      </c>
      <c r="J154">
        <v>16.600000000000001</v>
      </c>
      <c r="L154">
        <v>8.6999999999999993</v>
      </c>
      <c r="M154">
        <v>42</v>
      </c>
      <c r="N154">
        <v>32.5</v>
      </c>
    </row>
    <row r="155" spans="1:14" x14ac:dyDescent="0.2">
      <c r="A155" t="s">
        <v>165</v>
      </c>
      <c r="B155">
        <v>25</v>
      </c>
      <c r="C155">
        <v>136</v>
      </c>
      <c r="D155">
        <v>57</v>
      </c>
      <c r="F155">
        <v>1280</v>
      </c>
      <c r="H155">
        <v>1653</v>
      </c>
      <c r="I155">
        <v>1.29</v>
      </c>
      <c r="J155">
        <v>17.7</v>
      </c>
      <c r="L155">
        <v>9.4</v>
      </c>
      <c r="M155">
        <v>42.4</v>
      </c>
      <c r="N155">
        <v>32.799999999999997</v>
      </c>
    </row>
    <row r="156" spans="1:14" x14ac:dyDescent="0.2">
      <c r="A156" t="s">
        <v>166</v>
      </c>
      <c r="B156">
        <v>25</v>
      </c>
      <c r="C156">
        <v>134</v>
      </c>
      <c r="D156">
        <v>54</v>
      </c>
      <c r="F156">
        <v>1176</v>
      </c>
      <c r="H156">
        <v>1536</v>
      </c>
      <c r="I156">
        <v>1.31</v>
      </c>
      <c r="J156">
        <v>16.3</v>
      </c>
      <c r="L156">
        <v>8.8000000000000007</v>
      </c>
      <c r="M156">
        <v>43.2</v>
      </c>
      <c r="N156">
        <v>33</v>
      </c>
    </row>
    <row r="157" spans="1:14" x14ac:dyDescent="0.2">
      <c r="A157" t="s">
        <v>167</v>
      </c>
      <c r="B157">
        <v>25</v>
      </c>
      <c r="C157">
        <v>134</v>
      </c>
      <c r="D157">
        <v>63</v>
      </c>
      <c r="F157">
        <v>1230</v>
      </c>
      <c r="H157">
        <v>1703</v>
      </c>
      <c r="I157">
        <v>1.38</v>
      </c>
      <c r="J157">
        <v>17.100000000000001</v>
      </c>
      <c r="L157">
        <v>9.1999999999999993</v>
      </c>
      <c r="M157">
        <v>48.9</v>
      </c>
      <c r="N157">
        <v>35.299999999999997</v>
      </c>
    </row>
    <row r="158" spans="1:14" x14ac:dyDescent="0.2">
      <c r="A158" t="s">
        <v>168</v>
      </c>
      <c r="B158">
        <v>25</v>
      </c>
      <c r="C158">
        <v>133</v>
      </c>
      <c r="D158">
        <v>59</v>
      </c>
      <c r="F158">
        <v>1020</v>
      </c>
      <c r="H158">
        <v>1528</v>
      </c>
      <c r="I158">
        <v>1.5</v>
      </c>
      <c r="J158">
        <v>14.1</v>
      </c>
      <c r="L158">
        <v>7.7</v>
      </c>
      <c r="M158">
        <v>55.3</v>
      </c>
      <c r="N158">
        <v>36.9</v>
      </c>
    </row>
    <row r="159" spans="1:14" x14ac:dyDescent="0.2">
      <c r="A159" t="s">
        <v>169</v>
      </c>
      <c r="B159">
        <v>25</v>
      </c>
      <c r="C159">
        <v>130</v>
      </c>
      <c r="D159">
        <v>58</v>
      </c>
      <c r="F159">
        <v>984</v>
      </c>
      <c r="H159">
        <v>1515</v>
      </c>
      <c r="I159">
        <v>1.54</v>
      </c>
      <c r="J159">
        <v>13.6</v>
      </c>
      <c r="L159">
        <v>7.6</v>
      </c>
      <c r="M159">
        <v>56</v>
      </c>
      <c r="N159">
        <v>36.4</v>
      </c>
    </row>
    <row r="160" spans="1:14" x14ac:dyDescent="0.2">
      <c r="A160" t="s">
        <v>170</v>
      </c>
      <c r="B160">
        <v>25</v>
      </c>
      <c r="C160">
        <v>127</v>
      </c>
      <c r="D160">
        <v>46</v>
      </c>
      <c r="F160">
        <v>821</v>
      </c>
      <c r="H160">
        <v>1259</v>
      </c>
      <c r="I160">
        <v>1.53</v>
      </c>
      <c r="J160">
        <v>11.4</v>
      </c>
      <c r="L160">
        <v>6.5</v>
      </c>
      <c r="M160">
        <v>53.1</v>
      </c>
      <c r="N160">
        <v>34.6</v>
      </c>
    </row>
    <row r="161" spans="1:14" x14ac:dyDescent="0.2">
      <c r="A161" t="s">
        <v>171</v>
      </c>
      <c r="B161">
        <v>25</v>
      </c>
      <c r="C161">
        <v>126</v>
      </c>
      <c r="D161">
        <v>58</v>
      </c>
      <c r="F161">
        <v>979</v>
      </c>
      <c r="H161">
        <v>1505</v>
      </c>
      <c r="I161">
        <v>1.54</v>
      </c>
      <c r="J161">
        <v>13.6</v>
      </c>
      <c r="L161">
        <v>7.8</v>
      </c>
      <c r="M161">
        <v>56.5</v>
      </c>
      <c r="N161">
        <v>36.799999999999997</v>
      </c>
    </row>
    <row r="162" spans="1:14" x14ac:dyDescent="0.2">
      <c r="A162" t="s">
        <v>172</v>
      </c>
      <c r="B162">
        <v>25</v>
      </c>
      <c r="C162">
        <v>125</v>
      </c>
      <c r="D162">
        <v>54</v>
      </c>
      <c r="F162">
        <v>896</v>
      </c>
      <c r="H162">
        <v>1372</v>
      </c>
      <c r="I162">
        <v>1.53</v>
      </c>
      <c r="J162">
        <v>12.4</v>
      </c>
      <c r="L162">
        <v>7.2</v>
      </c>
      <c r="M162">
        <v>57.5</v>
      </c>
      <c r="N162">
        <v>37.5</v>
      </c>
    </row>
    <row r="163" spans="1:14" x14ac:dyDescent="0.2">
      <c r="A163" t="s">
        <v>173</v>
      </c>
      <c r="B163">
        <v>25</v>
      </c>
      <c r="C163">
        <v>124</v>
      </c>
      <c r="D163">
        <v>54</v>
      </c>
      <c r="F163">
        <v>885</v>
      </c>
      <c r="H163">
        <v>1336</v>
      </c>
      <c r="I163">
        <v>1.51</v>
      </c>
      <c r="J163">
        <v>12.3</v>
      </c>
      <c r="L163">
        <v>7.1</v>
      </c>
      <c r="M163">
        <v>57.7</v>
      </c>
      <c r="N163">
        <v>38.200000000000003</v>
      </c>
    </row>
    <row r="164" spans="1:14" x14ac:dyDescent="0.2">
      <c r="A164" t="s">
        <v>174</v>
      </c>
      <c r="B164">
        <v>25</v>
      </c>
      <c r="C164">
        <v>122</v>
      </c>
      <c r="D164">
        <v>28</v>
      </c>
      <c r="F164">
        <v>438</v>
      </c>
      <c r="H164">
        <v>655</v>
      </c>
      <c r="I164">
        <v>1.49</v>
      </c>
      <c r="J164">
        <v>6.1</v>
      </c>
      <c r="L164">
        <v>3.6</v>
      </c>
      <c r="M164">
        <v>58.7</v>
      </c>
      <c r="N164">
        <v>39.299999999999997</v>
      </c>
    </row>
    <row r="165" spans="1:14" x14ac:dyDescent="0.2">
      <c r="A165" t="s">
        <v>175</v>
      </c>
      <c r="B165">
        <v>25</v>
      </c>
      <c r="C165">
        <v>122</v>
      </c>
      <c r="D165">
        <v>46</v>
      </c>
      <c r="F165">
        <v>1044</v>
      </c>
      <c r="H165">
        <v>1407</v>
      </c>
      <c r="I165">
        <v>1.35</v>
      </c>
      <c r="J165">
        <v>14.5</v>
      </c>
      <c r="L165">
        <v>8.6</v>
      </c>
      <c r="M165">
        <v>42.6</v>
      </c>
      <c r="N165">
        <v>31.6</v>
      </c>
    </row>
    <row r="166" spans="1:14" x14ac:dyDescent="0.2">
      <c r="A166" t="s">
        <v>176</v>
      </c>
      <c r="B166">
        <v>25</v>
      </c>
      <c r="C166">
        <v>121</v>
      </c>
      <c r="D166">
        <v>47</v>
      </c>
      <c r="F166">
        <v>931</v>
      </c>
      <c r="H166">
        <v>1236</v>
      </c>
      <c r="I166">
        <v>1.33</v>
      </c>
      <c r="J166">
        <v>12.9</v>
      </c>
      <c r="L166">
        <v>7.7</v>
      </c>
      <c r="M166">
        <v>48.2</v>
      </c>
      <c r="N166">
        <v>36.299999999999997</v>
      </c>
    </row>
    <row r="167" spans="1:14" x14ac:dyDescent="0.2">
      <c r="A167" t="s">
        <v>177</v>
      </c>
      <c r="B167">
        <v>25</v>
      </c>
      <c r="C167">
        <v>120</v>
      </c>
      <c r="D167">
        <v>53</v>
      </c>
      <c r="F167">
        <v>972</v>
      </c>
      <c r="H167">
        <v>1341</v>
      </c>
      <c r="I167">
        <v>1.38</v>
      </c>
      <c r="J167">
        <v>13.5</v>
      </c>
      <c r="L167">
        <v>8.1</v>
      </c>
      <c r="M167">
        <v>51.7</v>
      </c>
      <c r="N167">
        <v>37.5</v>
      </c>
    </row>
    <row r="168" spans="1:14" x14ac:dyDescent="0.2">
      <c r="A168" t="s">
        <v>178</v>
      </c>
      <c r="B168">
        <v>25</v>
      </c>
      <c r="C168">
        <v>120</v>
      </c>
      <c r="D168">
        <v>52</v>
      </c>
      <c r="F168">
        <v>824</v>
      </c>
      <c r="H168">
        <v>1247</v>
      </c>
      <c r="I168">
        <v>1.51</v>
      </c>
      <c r="J168">
        <v>11.4</v>
      </c>
      <c r="L168">
        <v>6.9</v>
      </c>
      <c r="M168">
        <v>60.6</v>
      </c>
      <c r="N168">
        <v>40</v>
      </c>
    </row>
    <row r="169" spans="1:14" x14ac:dyDescent="0.2">
      <c r="A169" t="s">
        <v>179</v>
      </c>
      <c r="B169">
        <v>25</v>
      </c>
      <c r="C169">
        <v>117</v>
      </c>
      <c r="D169">
        <v>46</v>
      </c>
      <c r="F169">
        <v>758</v>
      </c>
      <c r="H169">
        <v>1126</v>
      </c>
      <c r="I169">
        <v>1.49</v>
      </c>
      <c r="J169">
        <v>10.5</v>
      </c>
      <c r="L169">
        <v>6.5</v>
      </c>
      <c r="M169">
        <v>57.9</v>
      </c>
      <c r="N169">
        <v>39</v>
      </c>
    </row>
    <row r="170" spans="1:14" x14ac:dyDescent="0.2">
      <c r="A170" t="s">
        <v>180</v>
      </c>
      <c r="B170">
        <v>25</v>
      </c>
      <c r="C170">
        <v>117</v>
      </c>
      <c r="D170">
        <v>44</v>
      </c>
      <c r="F170">
        <v>729</v>
      </c>
      <c r="H170">
        <v>1080</v>
      </c>
      <c r="I170">
        <v>1.48</v>
      </c>
      <c r="J170">
        <v>10.1</v>
      </c>
      <c r="L170">
        <v>6.2</v>
      </c>
      <c r="M170">
        <v>57.2</v>
      </c>
      <c r="N170">
        <v>38.6</v>
      </c>
    </row>
    <row r="171" spans="1:14" x14ac:dyDescent="0.2">
      <c r="A171" t="s">
        <v>181</v>
      </c>
      <c r="B171">
        <v>25</v>
      </c>
      <c r="C171">
        <v>115</v>
      </c>
      <c r="D171">
        <v>43</v>
      </c>
      <c r="F171">
        <v>785</v>
      </c>
      <c r="H171">
        <v>1100</v>
      </c>
      <c r="I171">
        <v>1.4</v>
      </c>
      <c r="J171">
        <v>10.9</v>
      </c>
      <c r="L171">
        <v>6.8</v>
      </c>
      <c r="M171">
        <v>51.6</v>
      </c>
      <c r="N171">
        <v>36.9</v>
      </c>
    </row>
    <row r="172" spans="1:14" x14ac:dyDescent="0.2">
      <c r="A172" t="s">
        <v>182</v>
      </c>
      <c r="B172">
        <v>25</v>
      </c>
      <c r="C172">
        <v>115</v>
      </c>
      <c r="D172">
        <v>43</v>
      </c>
      <c r="F172">
        <v>761</v>
      </c>
      <c r="H172">
        <v>1040</v>
      </c>
      <c r="I172">
        <v>1.37</v>
      </c>
      <c r="J172">
        <v>10.6</v>
      </c>
      <c r="L172">
        <v>6.6</v>
      </c>
      <c r="M172">
        <v>53.5</v>
      </c>
      <c r="N172">
        <v>39.1</v>
      </c>
    </row>
    <row r="173" spans="1:14" x14ac:dyDescent="0.2">
      <c r="A173" t="s">
        <v>183</v>
      </c>
      <c r="B173">
        <v>25</v>
      </c>
      <c r="C173">
        <v>114</v>
      </c>
      <c r="D173">
        <v>27</v>
      </c>
      <c r="F173">
        <v>611</v>
      </c>
      <c r="H173">
        <v>798</v>
      </c>
      <c r="I173">
        <v>1.31</v>
      </c>
      <c r="J173">
        <v>8.5</v>
      </c>
      <c r="L173">
        <v>5.4</v>
      </c>
      <c r="M173">
        <v>41.7</v>
      </c>
      <c r="N173">
        <v>32</v>
      </c>
    </row>
    <row r="174" spans="1:14" x14ac:dyDescent="0.2">
      <c r="A174" t="s">
        <v>184</v>
      </c>
      <c r="B174">
        <v>25</v>
      </c>
      <c r="C174">
        <v>112</v>
      </c>
      <c r="D174">
        <v>41</v>
      </c>
      <c r="F174">
        <v>771</v>
      </c>
      <c r="H174">
        <v>1014</v>
      </c>
      <c r="I174">
        <v>1.32</v>
      </c>
      <c r="J174">
        <v>10.7</v>
      </c>
      <c r="L174">
        <v>6.9</v>
      </c>
      <c r="M174">
        <v>50</v>
      </c>
      <c r="N174">
        <v>38</v>
      </c>
    </row>
    <row r="175" spans="1:14" x14ac:dyDescent="0.2">
      <c r="A175" t="s">
        <v>185</v>
      </c>
      <c r="B175">
        <v>0</v>
      </c>
      <c r="C175">
        <v>112</v>
      </c>
      <c r="D175">
        <v>6</v>
      </c>
      <c r="F175">
        <v>39</v>
      </c>
      <c r="H175">
        <v>53</v>
      </c>
      <c r="I175">
        <v>1.37</v>
      </c>
      <c r="J175">
        <v>0.5</v>
      </c>
      <c r="L175">
        <v>0.3</v>
      </c>
      <c r="M175">
        <v>97.2</v>
      </c>
      <c r="N175">
        <v>71.099999999999994</v>
      </c>
    </row>
    <row r="176" spans="1:14" x14ac:dyDescent="0.2">
      <c r="A176" t="s">
        <v>186</v>
      </c>
      <c r="B176">
        <v>0</v>
      </c>
      <c r="C176">
        <v>112</v>
      </c>
      <c r="D176">
        <v>38</v>
      </c>
      <c r="F176">
        <v>869</v>
      </c>
      <c r="H176">
        <v>1054</v>
      </c>
      <c r="I176">
        <v>1.21</v>
      </c>
      <c r="J176">
        <v>12.1</v>
      </c>
      <c r="L176">
        <v>7.8</v>
      </c>
      <c r="M176">
        <v>41.8</v>
      </c>
      <c r="N176">
        <v>34.5</v>
      </c>
    </row>
    <row r="177" spans="1:6" x14ac:dyDescent="0.2">
      <c r="A177" t="s">
        <v>187</v>
      </c>
      <c r="B177">
        <v>0</v>
      </c>
      <c r="C177">
        <v>105</v>
      </c>
    </row>
    <row r="178" spans="1:6" x14ac:dyDescent="0.2">
      <c r="A178" t="s">
        <v>188</v>
      </c>
      <c r="B178">
        <v>0</v>
      </c>
      <c r="C178">
        <v>103</v>
      </c>
    </row>
    <row r="179" spans="1:6" x14ac:dyDescent="0.2">
      <c r="A179" t="s">
        <v>189</v>
      </c>
      <c r="B179">
        <v>0</v>
      </c>
      <c r="C179">
        <v>100</v>
      </c>
    </row>
    <row r="180" spans="1:6" x14ac:dyDescent="0.2">
      <c r="A180" t="s">
        <v>190</v>
      </c>
      <c r="B180">
        <v>0</v>
      </c>
      <c r="C180">
        <v>103</v>
      </c>
    </row>
    <row r="181" spans="1:6" x14ac:dyDescent="0.2">
      <c r="A181" t="s">
        <v>191</v>
      </c>
      <c r="B181">
        <v>0</v>
      </c>
      <c r="C181">
        <v>97</v>
      </c>
    </row>
    <row r="182" spans="1:6" x14ac:dyDescent="0.2">
      <c r="A182" t="s">
        <v>192</v>
      </c>
      <c r="B182">
        <v>0</v>
      </c>
      <c r="C182">
        <v>97</v>
      </c>
    </row>
    <row r="183" spans="1:6" x14ac:dyDescent="0.2">
      <c r="A183" t="s">
        <v>193</v>
      </c>
      <c r="B183">
        <v>0</v>
      </c>
      <c r="C183">
        <v>96</v>
      </c>
    </row>
    <row r="184" spans="1:6" x14ac:dyDescent="0.2">
      <c r="A184" t="s">
        <v>194</v>
      </c>
      <c r="B184">
        <v>0</v>
      </c>
      <c r="C184">
        <v>90</v>
      </c>
    </row>
    <row r="185" spans="1:6" x14ac:dyDescent="0.2">
      <c r="A185" t="s">
        <v>195</v>
      </c>
      <c r="B185">
        <v>0</v>
      </c>
      <c r="C185">
        <v>84</v>
      </c>
    </row>
    <row r="186" spans="1:6" x14ac:dyDescent="0.2">
      <c r="A186" t="s">
        <v>196</v>
      </c>
      <c r="B186">
        <v>0</v>
      </c>
      <c r="C186">
        <v>84</v>
      </c>
    </row>
    <row r="188" spans="1:6" x14ac:dyDescent="0.2">
      <c r="A188" t="s">
        <v>197</v>
      </c>
    </row>
    <row r="189" spans="1:6" x14ac:dyDescent="0.2">
      <c r="A189" t="s">
        <v>12</v>
      </c>
      <c r="B189" t="s">
        <v>13</v>
      </c>
      <c r="C189" t="s">
        <v>1</v>
      </c>
      <c r="D189" t="s">
        <v>198</v>
      </c>
      <c r="E189" t="s">
        <v>199</v>
      </c>
      <c r="F189" t="s">
        <v>200</v>
      </c>
    </row>
    <row r="190" spans="1:6" x14ac:dyDescent="0.2">
      <c r="A190" t="s">
        <v>21</v>
      </c>
      <c r="B190" t="s">
        <v>22</v>
      </c>
      <c r="C190" t="s">
        <v>23</v>
      </c>
      <c r="D190" t="s">
        <v>25</v>
      </c>
      <c r="E190" t="s">
        <v>201</v>
      </c>
      <c r="F190" t="s">
        <v>201</v>
      </c>
    </row>
    <row r="191" spans="1:6" x14ac:dyDescent="0.2">
      <c r="A191" t="s">
        <v>32</v>
      </c>
      <c r="B191">
        <v>0</v>
      </c>
      <c r="C191">
        <v>67</v>
      </c>
      <c r="D191">
        <v>99</v>
      </c>
    </row>
    <row r="192" spans="1:6" x14ac:dyDescent="0.2">
      <c r="A192" t="s">
        <v>35</v>
      </c>
      <c r="B192">
        <v>0</v>
      </c>
      <c r="C192">
        <v>72</v>
      </c>
      <c r="D192">
        <v>99</v>
      </c>
      <c r="E192">
        <v>126</v>
      </c>
      <c r="F192">
        <v>84</v>
      </c>
    </row>
    <row r="193" spans="1:6" x14ac:dyDescent="0.2">
      <c r="A193" t="s">
        <v>40</v>
      </c>
      <c r="B193">
        <v>0</v>
      </c>
      <c r="C193">
        <v>69</v>
      </c>
      <c r="D193">
        <v>99</v>
      </c>
      <c r="E193">
        <v>126</v>
      </c>
      <c r="F193">
        <v>84</v>
      </c>
    </row>
    <row r="194" spans="1:6" x14ac:dyDescent="0.2">
      <c r="A194" t="s">
        <v>202</v>
      </c>
      <c r="B194">
        <v>0</v>
      </c>
      <c r="C194">
        <v>70</v>
      </c>
      <c r="D194">
        <v>98</v>
      </c>
      <c r="E194">
        <v>126</v>
      </c>
      <c r="F194">
        <v>84</v>
      </c>
    </row>
    <row r="195" spans="1:6" x14ac:dyDescent="0.2">
      <c r="A195" t="s">
        <v>45</v>
      </c>
      <c r="B195">
        <v>0</v>
      </c>
      <c r="C195">
        <v>75</v>
      </c>
      <c r="D195">
        <v>98</v>
      </c>
      <c r="E195">
        <v>126</v>
      </c>
      <c r="F195">
        <v>84</v>
      </c>
    </row>
    <row r="196" spans="1:6" x14ac:dyDescent="0.2">
      <c r="A196" t="s">
        <v>203</v>
      </c>
      <c r="B196">
        <v>25</v>
      </c>
      <c r="C196">
        <v>85</v>
      </c>
      <c r="D196">
        <v>98</v>
      </c>
      <c r="E196">
        <v>126</v>
      </c>
      <c r="F196">
        <v>84</v>
      </c>
    </row>
    <row r="197" spans="1:6" x14ac:dyDescent="0.2">
      <c r="A197" t="s">
        <v>54</v>
      </c>
      <c r="B197">
        <v>25</v>
      </c>
      <c r="C197">
        <v>84</v>
      </c>
      <c r="D197">
        <v>98</v>
      </c>
      <c r="E197">
        <v>126</v>
      </c>
      <c r="F197">
        <v>84</v>
      </c>
    </row>
    <row r="198" spans="1:6" x14ac:dyDescent="0.2">
      <c r="A198" t="s">
        <v>55</v>
      </c>
      <c r="B198">
        <v>25</v>
      </c>
      <c r="C198">
        <v>85</v>
      </c>
      <c r="D198">
        <v>98</v>
      </c>
      <c r="E198">
        <v>126</v>
      </c>
      <c r="F198">
        <v>84</v>
      </c>
    </row>
    <row r="199" spans="1:6" x14ac:dyDescent="0.2">
      <c r="A199" t="s">
        <v>61</v>
      </c>
      <c r="B199">
        <v>30</v>
      </c>
      <c r="C199">
        <v>86</v>
      </c>
      <c r="D199">
        <v>98</v>
      </c>
      <c r="E199">
        <v>126</v>
      </c>
      <c r="F199">
        <v>84</v>
      </c>
    </row>
    <row r="200" spans="1:6" x14ac:dyDescent="0.2">
      <c r="A200" t="s">
        <v>67</v>
      </c>
      <c r="B200">
        <v>36</v>
      </c>
      <c r="C200">
        <v>81</v>
      </c>
      <c r="D200">
        <v>98</v>
      </c>
      <c r="E200">
        <v>125</v>
      </c>
      <c r="F200">
        <v>80</v>
      </c>
    </row>
    <row r="201" spans="1:6" x14ac:dyDescent="0.2">
      <c r="A201" t="s">
        <v>72</v>
      </c>
      <c r="B201">
        <v>43</v>
      </c>
      <c r="C201">
        <v>88</v>
      </c>
      <c r="D201">
        <v>99</v>
      </c>
      <c r="E201">
        <v>125</v>
      </c>
      <c r="F201">
        <v>80</v>
      </c>
    </row>
    <row r="202" spans="1:6" x14ac:dyDescent="0.2">
      <c r="A202" t="s">
        <v>78</v>
      </c>
      <c r="B202">
        <v>48</v>
      </c>
      <c r="C202">
        <v>87</v>
      </c>
      <c r="D202">
        <v>99</v>
      </c>
      <c r="E202">
        <v>125</v>
      </c>
      <c r="F202">
        <v>80</v>
      </c>
    </row>
    <row r="203" spans="1:6" x14ac:dyDescent="0.2">
      <c r="A203" t="s">
        <v>84</v>
      </c>
      <c r="B203">
        <v>55</v>
      </c>
      <c r="C203">
        <v>88</v>
      </c>
      <c r="D203">
        <v>99</v>
      </c>
      <c r="E203">
        <v>125</v>
      </c>
      <c r="F203">
        <v>80</v>
      </c>
    </row>
    <row r="204" spans="1:6" x14ac:dyDescent="0.2">
      <c r="A204" t="s">
        <v>90</v>
      </c>
      <c r="B204">
        <v>61</v>
      </c>
      <c r="C204">
        <v>91</v>
      </c>
      <c r="D204">
        <v>99</v>
      </c>
      <c r="E204">
        <v>132</v>
      </c>
      <c r="F204">
        <v>79</v>
      </c>
    </row>
    <row r="205" spans="1:6" x14ac:dyDescent="0.2">
      <c r="A205" t="s">
        <v>95</v>
      </c>
      <c r="B205">
        <v>67</v>
      </c>
      <c r="C205">
        <v>96</v>
      </c>
      <c r="D205">
        <v>99</v>
      </c>
      <c r="E205">
        <v>132</v>
      </c>
      <c r="F205">
        <v>79</v>
      </c>
    </row>
    <row r="206" spans="1:6" x14ac:dyDescent="0.2">
      <c r="A206" t="s">
        <v>101</v>
      </c>
      <c r="B206">
        <v>73</v>
      </c>
      <c r="C206">
        <v>103</v>
      </c>
      <c r="D206">
        <v>99</v>
      </c>
      <c r="E206">
        <v>132</v>
      </c>
      <c r="F206">
        <v>79</v>
      </c>
    </row>
    <row r="207" spans="1:6" x14ac:dyDescent="0.2">
      <c r="A207" t="s">
        <v>107</v>
      </c>
      <c r="B207">
        <v>80</v>
      </c>
      <c r="C207">
        <v>105</v>
      </c>
      <c r="D207">
        <v>99</v>
      </c>
      <c r="E207">
        <v>132</v>
      </c>
      <c r="F207">
        <v>79</v>
      </c>
    </row>
    <row r="208" spans="1:6" x14ac:dyDescent="0.2">
      <c r="A208" t="s">
        <v>113</v>
      </c>
      <c r="B208">
        <v>86</v>
      </c>
      <c r="C208">
        <v>108</v>
      </c>
      <c r="D208">
        <v>99</v>
      </c>
      <c r="E208">
        <v>150</v>
      </c>
      <c r="F208">
        <v>76</v>
      </c>
    </row>
    <row r="209" spans="1:6" x14ac:dyDescent="0.2">
      <c r="A209" t="s">
        <v>119</v>
      </c>
      <c r="B209">
        <v>92</v>
      </c>
      <c r="C209">
        <v>109</v>
      </c>
      <c r="D209">
        <v>99</v>
      </c>
      <c r="E209">
        <v>150</v>
      </c>
      <c r="F209">
        <v>76</v>
      </c>
    </row>
    <row r="210" spans="1:6" x14ac:dyDescent="0.2">
      <c r="A210" t="s">
        <v>125</v>
      </c>
      <c r="B210">
        <v>99</v>
      </c>
      <c r="C210">
        <v>114</v>
      </c>
      <c r="D210">
        <v>99</v>
      </c>
      <c r="E210">
        <v>150</v>
      </c>
      <c r="F210">
        <v>76</v>
      </c>
    </row>
    <row r="211" spans="1:6" x14ac:dyDescent="0.2">
      <c r="A211" t="s">
        <v>131</v>
      </c>
      <c r="B211">
        <v>105</v>
      </c>
      <c r="C211">
        <v>121</v>
      </c>
      <c r="D211">
        <v>99</v>
      </c>
      <c r="E211">
        <v>150</v>
      </c>
      <c r="F211">
        <v>76</v>
      </c>
    </row>
    <row r="212" spans="1:6" x14ac:dyDescent="0.2">
      <c r="A212" t="s">
        <v>137</v>
      </c>
      <c r="B212">
        <v>111</v>
      </c>
      <c r="C212">
        <v>125</v>
      </c>
      <c r="D212">
        <v>99</v>
      </c>
      <c r="E212">
        <v>177</v>
      </c>
      <c r="F212">
        <v>79</v>
      </c>
    </row>
    <row r="213" spans="1:6" x14ac:dyDescent="0.2">
      <c r="A213" t="s">
        <v>143</v>
      </c>
      <c r="B213">
        <v>117</v>
      </c>
      <c r="C213">
        <v>130</v>
      </c>
      <c r="D213">
        <v>99</v>
      </c>
      <c r="E213">
        <v>177</v>
      </c>
      <c r="F213">
        <v>79</v>
      </c>
    </row>
    <row r="214" spans="1:6" x14ac:dyDescent="0.2">
      <c r="A214" t="s">
        <v>149</v>
      </c>
      <c r="B214">
        <v>124</v>
      </c>
      <c r="C214">
        <v>129</v>
      </c>
      <c r="D214">
        <v>100</v>
      </c>
      <c r="E214">
        <v>177</v>
      </c>
      <c r="F214">
        <v>79</v>
      </c>
    </row>
    <row r="215" spans="1:6" x14ac:dyDescent="0.2">
      <c r="A215" t="s">
        <v>155</v>
      </c>
      <c r="B215">
        <v>130</v>
      </c>
      <c r="C215">
        <v>145</v>
      </c>
      <c r="D215">
        <v>99</v>
      </c>
      <c r="E215">
        <v>177</v>
      </c>
      <c r="F215">
        <v>79</v>
      </c>
    </row>
    <row r="216" spans="1:6" x14ac:dyDescent="0.2">
      <c r="A216" t="s">
        <v>159</v>
      </c>
      <c r="B216">
        <v>134</v>
      </c>
      <c r="C216">
        <v>149</v>
      </c>
      <c r="D216">
        <v>99</v>
      </c>
      <c r="E216">
        <v>174</v>
      </c>
      <c r="F216">
        <v>88</v>
      </c>
    </row>
    <row r="217" spans="1:6" x14ac:dyDescent="0.2">
      <c r="A217" t="s">
        <v>161</v>
      </c>
      <c r="B217">
        <v>0</v>
      </c>
      <c r="C217">
        <v>146</v>
      </c>
      <c r="D217">
        <v>99</v>
      </c>
      <c r="E217">
        <v>174</v>
      </c>
      <c r="F217">
        <v>88</v>
      </c>
    </row>
    <row r="218" spans="1:6" x14ac:dyDescent="0.2">
      <c r="A218" t="s">
        <v>167</v>
      </c>
      <c r="B218">
        <v>25</v>
      </c>
      <c r="C218">
        <v>134</v>
      </c>
      <c r="D218">
        <v>99</v>
      </c>
      <c r="E218">
        <v>173</v>
      </c>
      <c r="F218">
        <v>82</v>
      </c>
    </row>
    <row r="219" spans="1:6" x14ac:dyDescent="0.2">
      <c r="A219" t="s">
        <v>173</v>
      </c>
      <c r="B219">
        <v>25</v>
      </c>
      <c r="C219">
        <v>124</v>
      </c>
      <c r="D219">
        <v>99</v>
      </c>
      <c r="E219">
        <v>173</v>
      </c>
      <c r="F219">
        <v>82</v>
      </c>
    </row>
    <row r="220" spans="1:6" x14ac:dyDescent="0.2">
      <c r="A220" t="s">
        <v>179</v>
      </c>
      <c r="B220">
        <v>25</v>
      </c>
      <c r="C220">
        <v>117</v>
      </c>
      <c r="D220">
        <v>99</v>
      </c>
      <c r="E220">
        <v>173</v>
      </c>
      <c r="F220">
        <v>82</v>
      </c>
    </row>
    <row r="221" spans="1:6" x14ac:dyDescent="0.2">
      <c r="A221" t="s">
        <v>185</v>
      </c>
      <c r="B221">
        <v>0</v>
      </c>
      <c r="C221">
        <v>112</v>
      </c>
      <c r="D221">
        <v>98</v>
      </c>
      <c r="E221">
        <v>173</v>
      </c>
      <c r="F221">
        <v>82</v>
      </c>
    </row>
    <row r="222" spans="1:6" x14ac:dyDescent="0.2">
      <c r="A222" t="s">
        <v>204</v>
      </c>
      <c r="B222">
        <v>0</v>
      </c>
      <c r="C222">
        <v>105</v>
      </c>
      <c r="D222">
        <v>99</v>
      </c>
      <c r="E222">
        <v>173</v>
      </c>
      <c r="F222">
        <v>82</v>
      </c>
    </row>
    <row r="223" spans="1:6" x14ac:dyDescent="0.2">
      <c r="A223" t="s">
        <v>205</v>
      </c>
      <c r="B223">
        <v>0</v>
      </c>
      <c r="C223">
        <v>100</v>
      </c>
      <c r="D223">
        <v>96</v>
      </c>
      <c r="E223">
        <v>226</v>
      </c>
      <c r="F223">
        <v>45</v>
      </c>
    </row>
    <row r="224" spans="1:6" x14ac:dyDescent="0.2">
      <c r="A224" t="s">
        <v>206</v>
      </c>
      <c r="B224">
        <v>0</v>
      </c>
      <c r="C224">
        <v>97</v>
      </c>
      <c r="D224">
        <v>95</v>
      </c>
      <c r="E224">
        <v>226</v>
      </c>
      <c r="F224">
        <v>45</v>
      </c>
    </row>
    <row r="225" spans="1:14" x14ac:dyDescent="0.2">
      <c r="A225" t="s">
        <v>207</v>
      </c>
      <c r="B225">
        <v>0</v>
      </c>
      <c r="C225">
        <v>96</v>
      </c>
      <c r="E225">
        <v>218</v>
      </c>
      <c r="F225">
        <v>55</v>
      </c>
    </row>
    <row r="226" spans="1:14" x14ac:dyDescent="0.2">
      <c r="A226" t="s">
        <v>208</v>
      </c>
      <c r="B226">
        <v>0</v>
      </c>
      <c r="C226">
        <v>84</v>
      </c>
      <c r="D226">
        <v>93</v>
      </c>
      <c r="E226">
        <v>218</v>
      </c>
      <c r="F226">
        <v>55</v>
      </c>
    </row>
    <row r="227" spans="1:14" x14ac:dyDescent="0.2">
      <c r="A227" t="s">
        <v>209</v>
      </c>
      <c r="B227">
        <v>0</v>
      </c>
      <c r="C227">
        <v>84</v>
      </c>
      <c r="D227">
        <v>100</v>
      </c>
      <c r="E227">
        <v>218</v>
      </c>
      <c r="F227">
        <v>55</v>
      </c>
    </row>
    <row r="229" spans="1:14" x14ac:dyDescent="0.2">
      <c r="A229" t="s">
        <v>210</v>
      </c>
    </row>
    <row r="230" spans="1:14" x14ac:dyDescent="0.2">
      <c r="A230" t="s">
        <v>12</v>
      </c>
      <c r="B230" t="s">
        <v>13</v>
      </c>
      <c r="C230" t="s">
        <v>1</v>
      </c>
      <c r="D230" t="s">
        <v>9</v>
      </c>
      <c r="E230" t="s">
        <v>14</v>
      </c>
      <c r="F230" t="s">
        <v>15</v>
      </c>
      <c r="H230" t="s">
        <v>16</v>
      </c>
      <c r="I230" t="s">
        <v>8</v>
      </c>
      <c r="J230" t="s">
        <v>17</v>
      </c>
      <c r="L230" t="s">
        <v>18</v>
      </c>
      <c r="M230" t="s">
        <v>19</v>
      </c>
      <c r="N230" t="s">
        <v>20</v>
      </c>
    </row>
    <row r="231" spans="1:14" x14ac:dyDescent="0.2">
      <c r="A231" t="s">
        <v>21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H231" t="s">
        <v>26</v>
      </c>
      <c r="J231" t="s">
        <v>27</v>
      </c>
      <c r="L231" t="s">
        <v>28</v>
      </c>
    </row>
    <row r="232" spans="1:14" x14ac:dyDescent="0.2">
      <c r="A232" t="s">
        <v>211</v>
      </c>
      <c r="B232">
        <v>0</v>
      </c>
      <c r="D232">
        <v>18</v>
      </c>
      <c r="F232">
        <v>226</v>
      </c>
      <c r="H232">
        <v>286</v>
      </c>
      <c r="I232">
        <v>1.26</v>
      </c>
      <c r="J232">
        <v>3.1</v>
      </c>
      <c r="M232">
        <v>68.8</v>
      </c>
      <c r="N232">
        <v>54.4</v>
      </c>
    </row>
    <row r="233" spans="1:14" x14ac:dyDescent="0.2">
      <c r="A233" t="s">
        <v>212</v>
      </c>
      <c r="B233">
        <v>0</v>
      </c>
      <c r="C233">
        <v>75</v>
      </c>
      <c r="D233">
        <v>9</v>
      </c>
      <c r="F233">
        <v>177</v>
      </c>
      <c r="H233">
        <v>213</v>
      </c>
      <c r="I233">
        <v>1.2</v>
      </c>
      <c r="J233">
        <v>2.5</v>
      </c>
      <c r="L233">
        <v>2.4</v>
      </c>
      <c r="M233">
        <v>47.5</v>
      </c>
      <c r="N233">
        <v>39.5</v>
      </c>
    </row>
    <row r="234" spans="1:14" x14ac:dyDescent="0.2">
      <c r="A234" t="s">
        <v>213</v>
      </c>
      <c r="B234">
        <v>0</v>
      </c>
      <c r="C234">
        <v>72</v>
      </c>
      <c r="D234">
        <v>7</v>
      </c>
      <c r="F234">
        <v>122</v>
      </c>
      <c r="H234">
        <v>138</v>
      </c>
      <c r="I234">
        <v>1.1299999999999999</v>
      </c>
      <c r="J234">
        <v>1.7</v>
      </c>
      <c r="L234">
        <v>1.7</v>
      </c>
      <c r="M234">
        <v>45.9</v>
      </c>
      <c r="N234">
        <v>40.700000000000003</v>
      </c>
    </row>
    <row r="235" spans="1:14" x14ac:dyDescent="0.2">
      <c r="A235" t="s">
        <v>214</v>
      </c>
      <c r="B235">
        <v>0</v>
      </c>
      <c r="C235">
        <v>67</v>
      </c>
      <c r="D235">
        <v>13</v>
      </c>
      <c r="F235">
        <v>251</v>
      </c>
      <c r="H235">
        <v>299</v>
      </c>
      <c r="I235">
        <v>1.19</v>
      </c>
      <c r="J235">
        <v>3.5</v>
      </c>
      <c r="L235">
        <v>3.8</v>
      </c>
      <c r="M235">
        <v>49.5</v>
      </c>
      <c r="N235">
        <v>41.6</v>
      </c>
    </row>
    <row r="236" spans="1:14" x14ac:dyDescent="0.2">
      <c r="A236" t="s">
        <v>215</v>
      </c>
      <c r="B236">
        <v>0</v>
      </c>
      <c r="C236">
        <v>71</v>
      </c>
      <c r="D236">
        <v>9</v>
      </c>
      <c r="F236">
        <v>159</v>
      </c>
      <c r="H236">
        <v>190</v>
      </c>
      <c r="I236">
        <v>1.19</v>
      </c>
      <c r="J236">
        <v>2.2000000000000002</v>
      </c>
      <c r="L236">
        <v>2.2000000000000002</v>
      </c>
      <c r="M236">
        <v>51.4</v>
      </c>
      <c r="N236">
        <v>43</v>
      </c>
    </row>
    <row r="237" spans="1:14" x14ac:dyDescent="0.2">
      <c r="A237" t="s">
        <v>216</v>
      </c>
      <c r="B237">
        <v>0</v>
      </c>
      <c r="C237">
        <v>69</v>
      </c>
      <c r="D237">
        <v>11</v>
      </c>
      <c r="F237">
        <v>212</v>
      </c>
      <c r="H237">
        <v>250</v>
      </c>
      <c r="I237">
        <v>1.18</v>
      </c>
      <c r="J237">
        <v>2.9</v>
      </c>
      <c r="L237">
        <v>3.1</v>
      </c>
      <c r="M237">
        <v>50.8</v>
      </c>
      <c r="N237">
        <v>43.2</v>
      </c>
    </row>
    <row r="238" spans="1:14" x14ac:dyDescent="0.2">
      <c r="A238" t="s">
        <v>217</v>
      </c>
      <c r="B238">
        <v>0</v>
      </c>
      <c r="C238">
        <v>72</v>
      </c>
      <c r="D238">
        <v>6</v>
      </c>
      <c r="F238">
        <v>121</v>
      </c>
      <c r="H238">
        <v>129</v>
      </c>
      <c r="I238">
        <v>1.06</v>
      </c>
      <c r="J238">
        <v>1.7</v>
      </c>
      <c r="L238">
        <v>1.7</v>
      </c>
      <c r="M238">
        <v>41.5</v>
      </c>
      <c r="N238">
        <v>39.1</v>
      </c>
    </row>
    <row r="239" spans="1:14" x14ac:dyDescent="0.2">
      <c r="A239" t="s">
        <v>218</v>
      </c>
      <c r="B239">
        <v>0</v>
      </c>
      <c r="C239">
        <v>73</v>
      </c>
      <c r="D239">
        <v>3</v>
      </c>
      <c r="F239">
        <v>27</v>
      </c>
      <c r="H239">
        <v>26</v>
      </c>
      <c r="I239">
        <v>0.97</v>
      </c>
      <c r="J239">
        <v>0.4</v>
      </c>
      <c r="L239">
        <v>0.4</v>
      </c>
      <c r="M239">
        <v>55.9</v>
      </c>
      <c r="N239">
        <v>57.7</v>
      </c>
    </row>
    <row r="240" spans="1:14" x14ac:dyDescent="0.2">
      <c r="A240" t="s">
        <v>219</v>
      </c>
      <c r="B240">
        <v>0</v>
      </c>
      <c r="C240">
        <v>69</v>
      </c>
      <c r="D240">
        <v>15</v>
      </c>
      <c r="F240">
        <v>348</v>
      </c>
      <c r="H240">
        <v>344</v>
      </c>
      <c r="I240">
        <v>0.99</v>
      </c>
      <c r="J240">
        <v>4.8</v>
      </c>
      <c r="L240">
        <v>5</v>
      </c>
      <c r="M240">
        <v>38.700000000000003</v>
      </c>
      <c r="N240">
        <v>39.200000000000003</v>
      </c>
    </row>
    <row r="241" spans="1:14" x14ac:dyDescent="0.2">
      <c r="A241" t="s">
        <v>220</v>
      </c>
      <c r="B241">
        <v>0</v>
      </c>
      <c r="C241">
        <v>69</v>
      </c>
      <c r="D241">
        <v>10</v>
      </c>
      <c r="F241">
        <v>200</v>
      </c>
      <c r="H241">
        <v>203</v>
      </c>
      <c r="I241">
        <v>1.02</v>
      </c>
      <c r="J241">
        <v>2.8</v>
      </c>
      <c r="L241">
        <v>2.9</v>
      </c>
      <c r="M241">
        <v>41.9</v>
      </c>
      <c r="N241">
        <v>41.1</v>
      </c>
    </row>
    <row r="242" spans="1:14" x14ac:dyDescent="0.2">
      <c r="A242" t="s">
        <v>39</v>
      </c>
      <c r="B242">
        <v>0</v>
      </c>
      <c r="C242">
        <v>69</v>
      </c>
      <c r="D242">
        <v>3</v>
      </c>
      <c r="F242">
        <v>71</v>
      </c>
      <c r="H242">
        <v>65</v>
      </c>
      <c r="I242">
        <v>0.91</v>
      </c>
      <c r="J242">
        <v>1</v>
      </c>
      <c r="L242">
        <v>1</v>
      </c>
      <c r="M242">
        <v>38</v>
      </c>
      <c r="N242">
        <v>41.7</v>
      </c>
    </row>
    <row r="243" spans="1:14" x14ac:dyDescent="0.2">
      <c r="A243" t="s">
        <v>221</v>
      </c>
      <c r="B243">
        <v>0</v>
      </c>
      <c r="C243">
        <v>69</v>
      </c>
      <c r="D243">
        <v>10</v>
      </c>
      <c r="F243">
        <v>253</v>
      </c>
      <c r="H243">
        <v>236</v>
      </c>
      <c r="I243">
        <v>0.93</v>
      </c>
      <c r="J243">
        <v>3.5</v>
      </c>
      <c r="L243">
        <v>3.7</v>
      </c>
      <c r="M243">
        <v>36.9</v>
      </c>
      <c r="N243">
        <v>39.6</v>
      </c>
    </row>
    <row r="244" spans="1:14" x14ac:dyDescent="0.2">
      <c r="A244" t="s">
        <v>222</v>
      </c>
      <c r="B244">
        <v>0</v>
      </c>
      <c r="C244">
        <v>71</v>
      </c>
      <c r="D244">
        <v>5</v>
      </c>
      <c r="F244">
        <v>115</v>
      </c>
      <c r="H244">
        <v>107</v>
      </c>
      <c r="I244">
        <v>0.93</v>
      </c>
      <c r="J244">
        <v>1.6</v>
      </c>
      <c r="L244">
        <v>1.6</v>
      </c>
      <c r="M244">
        <v>38.799999999999997</v>
      </c>
      <c r="N244">
        <v>41.6</v>
      </c>
    </row>
    <row r="245" spans="1:14" x14ac:dyDescent="0.2">
      <c r="A245" t="s">
        <v>223</v>
      </c>
      <c r="B245">
        <v>0</v>
      </c>
      <c r="C245">
        <v>69</v>
      </c>
      <c r="D245">
        <v>7</v>
      </c>
      <c r="F245">
        <v>167</v>
      </c>
      <c r="H245">
        <v>154</v>
      </c>
      <c r="I245">
        <v>0.92</v>
      </c>
      <c r="J245">
        <v>2.2999999999999998</v>
      </c>
      <c r="L245">
        <v>2.4</v>
      </c>
      <c r="M245">
        <v>36.9</v>
      </c>
      <c r="N245">
        <v>40.1</v>
      </c>
    </row>
    <row r="246" spans="1:14" x14ac:dyDescent="0.2">
      <c r="A246" t="s">
        <v>202</v>
      </c>
      <c r="B246">
        <v>0</v>
      </c>
      <c r="C246">
        <v>70</v>
      </c>
      <c r="D246">
        <v>13</v>
      </c>
      <c r="F246">
        <v>311</v>
      </c>
      <c r="H246">
        <v>298</v>
      </c>
      <c r="I246">
        <v>0.96</v>
      </c>
      <c r="J246">
        <v>4.3</v>
      </c>
      <c r="L246">
        <v>4.4000000000000004</v>
      </c>
      <c r="M246">
        <v>38.4</v>
      </c>
      <c r="N246">
        <v>40.1</v>
      </c>
    </row>
    <row r="247" spans="1:14" x14ac:dyDescent="0.2">
      <c r="A247" t="s">
        <v>224</v>
      </c>
      <c r="B247">
        <v>0</v>
      </c>
      <c r="C247">
        <v>69</v>
      </c>
      <c r="D247">
        <v>10</v>
      </c>
      <c r="F247">
        <v>212</v>
      </c>
      <c r="H247">
        <v>211</v>
      </c>
      <c r="I247">
        <v>1</v>
      </c>
      <c r="J247">
        <v>2.9</v>
      </c>
      <c r="L247">
        <v>3.1</v>
      </c>
      <c r="M247">
        <v>41.6</v>
      </c>
      <c r="N247">
        <v>41.7</v>
      </c>
    </row>
    <row r="248" spans="1:14" x14ac:dyDescent="0.2">
      <c r="A248" t="s">
        <v>225</v>
      </c>
      <c r="B248">
        <v>0</v>
      </c>
      <c r="C248">
        <v>75</v>
      </c>
      <c r="D248">
        <v>10</v>
      </c>
      <c r="F248">
        <v>179</v>
      </c>
      <c r="H248">
        <v>186</v>
      </c>
      <c r="I248">
        <v>1.04</v>
      </c>
      <c r="J248">
        <v>2.5</v>
      </c>
      <c r="L248">
        <v>2.4</v>
      </c>
      <c r="M248">
        <v>46.9</v>
      </c>
      <c r="N248">
        <v>45.1</v>
      </c>
    </row>
    <row r="249" spans="1:14" x14ac:dyDescent="0.2">
      <c r="A249" t="s">
        <v>226</v>
      </c>
      <c r="B249">
        <v>25</v>
      </c>
      <c r="C249">
        <v>82</v>
      </c>
      <c r="D249">
        <v>6</v>
      </c>
      <c r="F249">
        <v>163</v>
      </c>
      <c r="H249">
        <v>147</v>
      </c>
      <c r="I249">
        <v>0.9</v>
      </c>
      <c r="J249">
        <v>2.2999999999999998</v>
      </c>
      <c r="L249">
        <v>2</v>
      </c>
      <c r="M249">
        <v>30.3</v>
      </c>
      <c r="N249">
        <v>33.6</v>
      </c>
    </row>
    <row r="250" spans="1:14" x14ac:dyDescent="0.2">
      <c r="A250" t="s">
        <v>227</v>
      </c>
      <c r="B250">
        <v>25</v>
      </c>
      <c r="C250">
        <v>84</v>
      </c>
      <c r="D250">
        <v>6</v>
      </c>
      <c r="F250">
        <v>160</v>
      </c>
      <c r="H250">
        <v>118</v>
      </c>
      <c r="I250">
        <v>0.74</v>
      </c>
      <c r="J250">
        <v>2.2000000000000002</v>
      </c>
      <c r="L250">
        <v>1.9</v>
      </c>
      <c r="M250">
        <v>27.4</v>
      </c>
      <c r="N250">
        <v>37.1</v>
      </c>
    </row>
    <row r="251" spans="1:14" x14ac:dyDescent="0.2">
      <c r="A251" t="s">
        <v>228</v>
      </c>
      <c r="B251">
        <v>25</v>
      </c>
      <c r="C251">
        <v>87</v>
      </c>
      <c r="D251">
        <v>7</v>
      </c>
      <c r="F251">
        <v>204</v>
      </c>
      <c r="H251">
        <v>142</v>
      </c>
      <c r="I251">
        <v>0.7</v>
      </c>
      <c r="J251">
        <v>2.8</v>
      </c>
      <c r="L251">
        <v>2.2999999999999998</v>
      </c>
      <c r="M251">
        <v>25.4</v>
      </c>
      <c r="N251">
        <v>36.5</v>
      </c>
    </row>
    <row r="252" spans="1:14" x14ac:dyDescent="0.2">
      <c r="A252" t="s">
        <v>229</v>
      </c>
      <c r="B252">
        <v>25</v>
      </c>
      <c r="C252">
        <v>88</v>
      </c>
      <c r="D252">
        <v>9</v>
      </c>
      <c r="F252">
        <v>270</v>
      </c>
      <c r="H252">
        <v>178</v>
      </c>
      <c r="I252">
        <v>0.66</v>
      </c>
      <c r="J252">
        <v>3.7</v>
      </c>
      <c r="L252">
        <v>3.1</v>
      </c>
      <c r="M252">
        <v>22.2</v>
      </c>
      <c r="N252">
        <v>33.700000000000003</v>
      </c>
    </row>
    <row r="253" spans="1:14" x14ac:dyDescent="0.2">
      <c r="A253" t="s">
        <v>230</v>
      </c>
      <c r="B253">
        <v>25</v>
      </c>
      <c r="C253">
        <v>87</v>
      </c>
      <c r="D253">
        <v>9</v>
      </c>
      <c r="F253">
        <v>338</v>
      </c>
      <c r="H253">
        <v>210</v>
      </c>
      <c r="I253">
        <v>0.62</v>
      </c>
      <c r="J253">
        <v>4.7</v>
      </c>
      <c r="L253">
        <v>3.9</v>
      </c>
      <c r="M253">
        <v>15.9</v>
      </c>
      <c r="N253">
        <v>25.6</v>
      </c>
    </row>
    <row r="254" spans="1:14" x14ac:dyDescent="0.2">
      <c r="A254" t="s">
        <v>49</v>
      </c>
      <c r="B254">
        <v>25</v>
      </c>
      <c r="C254">
        <v>85</v>
      </c>
      <c r="D254">
        <v>19</v>
      </c>
      <c r="F254">
        <v>685</v>
      </c>
      <c r="H254">
        <v>482</v>
      </c>
      <c r="I254">
        <v>0.7</v>
      </c>
      <c r="J254">
        <v>9.5</v>
      </c>
      <c r="L254">
        <v>8.1</v>
      </c>
      <c r="M254">
        <v>25.6</v>
      </c>
      <c r="N254">
        <v>36.5</v>
      </c>
    </row>
    <row r="255" spans="1:14" x14ac:dyDescent="0.2">
      <c r="A255" t="s">
        <v>231</v>
      </c>
      <c r="B255">
        <v>25</v>
      </c>
      <c r="C255">
        <v>86</v>
      </c>
      <c r="D255">
        <v>18</v>
      </c>
      <c r="F255">
        <v>650</v>
      </c>
      <c r="H255">
        <v>492</v>
      </c>
      <c r="I255">
        <v>0.76</v>
      </c>
      <c r="J255">
        <v>9</v>
      </c>
      <c r="L255">
        <v>7.6</v>
      </c>
      <c r="M255">
        <v>26.1</v>
      </c>
      <c r="N255">
        <v>34.5</v>
      </c>
    </row>
    <row r="256" spans="1:14" x14ac:dyDescent="0.2">
      <c r="A256" t="s">
        <v>50</v>
      </c>
      <c r="B256">
        <v>25</v>
      </c>
      <c r="C256">
        <v>86</v>
      </c>
      <c r="D256">
        <v>15</v>
      </c>
      <c r="F256">
        <v>628</v>
      </c>
      <c r="H256">
        <v>451</v>
      </c>
      <c r="I256">
        <v>0.72</v>
      </c>
      <c r="J256">
        <v>8.6999999999999993</v>
      </c>
      <c r="L256">
        <v>7.3</v>
      </c>
      <c r="M256">
        <v>21.3</v>
      </c>
      <c r="N256">
        <v>29.6</v>
      </c>
    </row>
    <row r="257" spans="1:14" x14ac:dyDescent="0.2">
      <c r="A257" t="s">
        <v>232</v>
      </c>
      <c r="B257">
        <v>25</v>
      </c>
      <c r="C257">
        <v>86</v>
      </c>
      <c r="D257">
        <v>10</v>
      </c>
      <c r="F257">
        <v>173</v>
      </c>
      <c r="H257">
        <v>111</v>
      </c>
      <c r="I257">
        <v>0.64</v>
      </c>
      <c r="J257">
        <v>2.4</v>
      </c>
      <c r="L257">
        <v>2</v>
      </c>
      <c r="M257">
        <v>35.700000000000003</v>
      </c>
      <c r="N257">
        <v>55.7</v>
      </c>
    </row>
    <row r="258" spans="1:14" x14ac:dyDescent="0.2">
      <c r="A258" t="s">
        <v>233</v>
      </c>
      <c r="B258">
        <v>25</v>
      </c>
      <c r="C258">
        <v>85</v>
      </c>
      <c r="D258">
        <v>9</v>
      </c>
      <c r="F258">
        <v>137</v>
      </c>
      <c r="H258">
        <v>90</v>
      </c>
      <c r="I258">
        <v>0.66</v>
      </c>
      <c r="J258">
        <v>1.9</v>
      </c>
      <c r="L258">
        <v>1.6</v>
      </c>
      <c r="M258">
        <v>39.9</v>
      </c>
      <c r="N258">
        <v>60.8</v>
      </c>
    </row>
    <row r="259" spans="1:14" x14ac:dyDescent="0.2">
      <c r="A259" t="s">
        <v>52</v>
      </c>
      <c r="B259">
        <v>25</v>
      </c>
      <c r="C259">
        <v>86</v>
      </c>
      <c r="D259">
        <v>10</v>
      </c>
      <c r="F259">
        <v>509</v>
      </c>
      <c r="H259">
        <v>326</v>
      </c>
      <c r="I259">
        <v>0.64</v>
      </c>
      <c r="J259">
        <v>7.1</v>
      </c>
      <c r="L259">
        <v>5.9</v>
      </c>
      <c r="M259">
        <v>18.2</v>
      </c>
      <c r="N259">
        <v>28.4</v>
      </c>
    </row>
    <row r="260" spans="1:14" x14ac:dyDescent="0.2">
      <c r="A260" t="s">
        <v>234</v>
      </c>
      <c r="B260">
        <v>25</v>
      </c>
      <c r="C260">
        <v>84</v>
      </c>
      <c r="D260">
        <v>12</v>
      </c>
      <c r="F260">
        <v>480</v>
      </c>
      <c r="H260">
        <v>291</v>
      </c>
      <c r="I260">
        <v>0.61</v>
      </c>
      <c r="J260">
        <v>6.7</v>
      </c>
      <c r="L260">
        <v>5.7</v>
      </c>
      <c r="M260">
        <v>20.7</v>
      </c>
      <c r="N260">
        <v>34.200000000000003</v>
      </c>
    </row>
    <row r="261" spans="1:14" x14ac:dyDescent="0.2">
      <c r="A261" t="s">
        <v>235</v>
      </c>
      <c r="B261">
        <v>25</v>
      </c>
      <c r="C261">
        <v>83</v>
      </c>
      <c r="D261">
        <v>7</v>
      </c>
      <c r="F261">
        <v>171</v>
      </c>
      <c r="H261">
        <v>97</v>
      </c>
      <c r="I261">
        <v>0.56999999999999995</v>
      </c>
      <c r="J261">
        <v>2.4</v>
      </c>
      <c r="L261">
        <v>2.1</v>
      </c>
      <c r="M261">
        <v>26.7</v>
      </c>
      <c r="N261">
        <v>47.1</v>
      </c>
    </row>
    <row r="262" spans="1:14" x14ac:dyDescent="0.2">
      <c r="A262" t="s">
        <v>54</v>
      </c>
      <c r="B262">
        <v>25</v>
      </c>
      <c r="C262">
        <v>84</v>
      </c>
      <c r="D262">
        <v>25</v>
      </c>
      <c r="F262">
        <v>1337</v>
      </c>
      <c r="H262">
        <v>779</v>
      </c>
      <c r="I262">
        <v>0.57999999999999996</v>
      </c>
      <c r="J262">
        <v>18.5</v>
      </c>
      <c r="L262">
        <v>15.9</v>
      </c>
      <c r="M262">
        <v>16.7</v>
      </c>
      <c r="N262">
        <v>28.6</v>
      </c>
    </row>
    <row r="263" spans="1:14" x14ac:dyDescent="0.2">
      <c r="A263" t="s">
        <v>236</v>
      </c>
      <c r="B263">
        <v>25</v>
      </c>
      <c r="C263">
        <v>85</v>
      </c>
      <c r="D263">
        <v>22</v>
      </c>
      <c r="F263">
        <v>953</v>
      </c>
      <c r="H263">
        <v>635</v>
      </c>
      <c r="I263">
        <v>0.67</v>
      </c>
      <c r="J263">
        <v>13.2</v>
      </c>
      <c r="L263">
        <v>11.2</v>
      </c>
      <c r="M263">
        <v>21.9</v>
      </c>
      <c r="N263">
        <v>32.799999999999997</v>
      </c>
    </row>
    <row r="264" spans="1:14" x14ac:dyDescent="0.2">
      <c r="A264" t="s">
        <v>237</v>
      </c>
      <c r="B264">
        <v>25</v>
      </c>
      <c r="C264">
        <v>84</v>
      </c>
      <c r="D264">
        <v>17</v>
      </c>
      <c r="F264">
        <v>699</v>
      </c>
      <c r="H264">
        <v>466</v>
      </c>
      <c r="I264">
        <v>0.67</v>
      </c>
      <c r="J264">
        <v>9.6999999999999993</v>
      </c>
      <c r="L264">
        <v>8.3000000000000007</v>
      </c>
      <c r="M264">
        <v>21.1</v>
      </c>
      <c r="N264">
        <v>31.6</v>
      </c>
    </row>
    <row r="265" spans="1:14" x14ac:dyDescent="0.2">
      <c r="A265" t="s">
        <v>56</v>
      </c>
      <c r="B265">
        <v>25</v>
      </c>
      <c r="C265">
        <v>84</v>
      </c>
      <c r="D265">
        <v>17</v>
      </c>
      <c r="F265">
        <v>730</v>
      </c>
      <c r="H265">
        <v>496</v>
      </c>
      <c r="I265">
        <v>0.68</v>
      </c>
      <c r="J265">
        <v>10.1</v>
      </c>
      <c r="L265">
        <v>8.6999999999999993</v>
      </c>
      <c r="M265">
        <v>21</v>
      </c>
      <c r="N265">
        <v>30.9</v>
      </c>
    </row>
    <row r="266" spans="1:14" x14ac:dyDescent="0.2">
      <c r="A266" t="s">
        <v>238</v>
      </c>
      <c r="B266">
        <v>26</v>
      </c>
      <c r="C266">
        <v>84</v>
      </c>
      <c r="D266">
        <v>19</v>
      </c>
      <c r="F266">
        <v>878</v>
      </c>
      <c r="H266">
        <v>586</v>
      </c>
      <c r="I266">
        <v>0.67</v>
      </c>
      <c r="J266">
        <v>12.2</v>
      </c>
      <c r="L266">
        <v>10.5</v>
      </c>
      <c r="M266">
        <v>19.5</v>
      </c>
      <c r="N266">
        <v>29.3</v>
      </c>
    </row>
    <row r="267" spans="1:14" x14ac:dyDescent="0.2">
      <c r="A267" t="s">
        <v>239</v>
      </c>
      <c r="B267">
        <v>27</v>
      </c>
      <c r="C267">
        <v>86</v>
      </c>
      <c r="D267">
        <v>31</v>
      </c>
      <c r="F267">
        <v>1157</v>
      </c>
      <c r="H267">
        <v>874</v>
      </c>
      <c r="I267">
        <v>0.76</v>
      </c>
      <c r="J267">
        <v>16</v>
      </c>
      <c r="L267">
        <v>13.5</v>
      </c>
      <c r="M267">
        <v>25.9</v>
      </c>
      <c r="N267">
        <v>34.200000000000003</v>
      </c>
    </row>
    <row r="268" spans="1:14" x14ac:dyDescent="0.2">
      <c r="A268" t="s">
        <v>240</v>
      </c>
      <c r="B268">
        <v>28</v>
      </c>
      <c r="C268">
        <v>89</v>
      </c>
      <c r="D268">
        <v>13</v>
      </c>
      <c r="F268">
        <v>495</v>
      </c>
      <c r="H268">
        <v>379</v>
      </c>
      <c r="I268">
        <v>0.76</v>
      </c>
      <c r="J268">
        <v>6.9</v>
      </c>
      <c r="L268">
        <v>5.6</v>
      </c>
      <c r="M268">
        <v>23.4</v>
      </c>
      <c r="N268">
        <v>30.6</v>
      </c>
    </row>
    <row r="269" spans="1:14" x14ac:dyDescent="0.2">
      <c r="A269" t="s">
        <v>241</v>
      </c>
      <c r="B269">
        <v>28</v>
      </c>
      <c r="C269">
        <v>89</v>
      </c>
      <c r="D269">
        <v>21</v>
      </c>
      <c r="F269">
        <v>777</v>
      </c>
      <c r="H269">
        <v>599</v>
      </c>
      <c r="I269">
        <v>0.77</v>
      </c>
      <c r="J269">
        <v>10.8</v>
      </c>
      <c r="L269">
        <v>8.6999999999999993</v>
      </c>
      <c r="M269">
        <v>24.2</v>
      </c>
      <c r="N269">
        <v>31.3</v>
      </c>
    </row>
    <row r="270" spans="1:14" x14ac:dyDescent="0.2">
      <c r="A270" t="s">
        <v>242</v>
      </c>
      <c r="B270">
        <v>29</v>
      </c>
      <c r="C270">
        <v>88</v>
      </c>
      <c r="D270">
        <v>18</v>
      </c>
      <c r="F270">
        <v>670</v>
      </c>
      <c r="H270">
        <v>529</v>
      </c>
      <c r="I270">
        <v>0.79</v>
      </c>
      <c r="J270">
        <v>9.3000000000000007</v>
      </c>
      <c r="L270">
        <v>7.6</v>
      </c>
      <c r="M270">
        <v>24.4</v>
      </c>
      <c r="N270">
        <v>30.8</v>
      </c>
    </row>
    <row r="271" spans="1:14" x14ac:dyDescent="0.2">
      <c r="A271" t="s">
        <v>243</v>
      </c>
      <c r="B271">
        <v>30</v>
      </c>
      <c r="C271">
        <v>86</v>
      </c>
      <c r="D271">
        <v>25</v>
      </c>
      <c r="F271">
        <v>914</v>
      </c>
      <c r="H271">
        <v>732</v>
      </c>
      <c r="I271">
        <v>0.8</v>
      </c>
      <c r="J271">
        <v>12.7</v>
      </c>
      <c r="L271">
        <v>10.6</v>
      </c>
      <c r="M271">
        <v>25.1</v>
      </c>
      <c r="N271">
        <v>31.4</v>
      </c>
    </row>
    <row r="272" spans="1:14" x14ac:dyDescent="0.2">
      <c r="A272" t="s">
        <v>244</v>
      </c>
      <c r="B272">
        <v>31</v>
      </c>
      <c r="C272">
        <v>84</v>
      </c>
      <c r="D272">
        <v>29</v>
      </c>
      <c r="F272">
        <v>900</v>
      </c>
      <c r="H272">
        <v>803</v>
      </c>
      <c r="I272">
        <v>0.89</v>
      </c>
      <c r="J272">
        <v>12.5</v>
      </c>
      <c r="L272">
        <v>10.7</v>
      </c>
      <c r="M272">
        <v>30.9</v>
      </c>
      <c r="N272">
        <v>34.6</v>
      </c>
    </row>
    <row r="273" spans="1:14" x14ac:dyDescent="0.2">
      <c r="A273" t="s">
        <v>245</v>
      </c>
      <c r="B273">
        <v>32</v>
      </c>
      <c r="C273">
        <v>83</v>
      </c>
      <c r="D273">
        <v>13</v>
      </c>
      <c r="F273">
        <v>479</v>
      </c>
      <c r="H273">
        <v>386</v>
      </c>
      <c r="I273">
        <v>0.81</v>
      </c>
      <c r="J273">
        <v>6.6</v>
      </c>
      <c r="L273">
        <v>5.8</v>
      </c>
      <c r="M273">
        <v>23.7</v>
      </c>
      <c r="N273">
        <v>29.4</v>
      </c>
    </row>
    <row r="274" spans="1:14" x14ac:dyDescent="0.2">
      <c r="A274" t="s">
        <v>63</v>
      </c>
      <c r="B274">
        <v>32</v>
      </c>
      <c r="C274">
        <v>83</v>
      </c>
      <c r="D274">
        <v>20</v>
      </c>
      <c r="F274">
        <v>717</v>
      </c>
      <c r="H274">
        <v>588</v>
      </c>
      <c r="I274">
        <v>0.82</v>
      </c>
      <c r="J274">
        <v>10</v>
      </c>
      <c r="L274">
        <v>8.6</v>
      </c>
      <c r="M274">
        <v>24.6</v>
      </c>
      <c r="N274">
        <v>30</v>
      </c>
    </row>
    <row r="275" spans="1:14" x14ac:dyDescent="0.2">
      <c r="A275" t="s">
        <v>246</v>
      </c>
      <c r="B275">
        <v>33</v>
      </c>
      <c r="C275">
        <v>83</v>
      </c>
      <c r="D275">
        <v>20</v>
      </c>
      <c r="F275">
        <v>751</v>
      </c>
      <c r="H275">
        <v>601</v>
      </c>
      <c r="I275">
        <v>0.8</v>
      </c>
      <c r="J275">
        <v>10.4</v>
      </c>
      <c r="L275">
        <v>9</v>
      </c>
      <c r="M275">
        <v>23.2</v>
      </c>
      <c r="N275">
        <v>29</v>
      </c>
    </row>
    <row r="276" spans="1:14" x14ac:dyDescent="0.2">
      <c r="A276" t="s">
        <v>247</v>
      </c>
      <c r="B276">
        <v>33</v>
      </c>
      <c r="C276">
        <v>83</v>
      </c>
      <c r="D276">
        <v>19</v>
      </c>
      <c r="F276">
        <v>685</v>
      </c>
      <c r="H276">
        <v>546</v>
      </c>
      <c r="I276">
        <v>0.8</v>
      </c>
      <c r="J276">
        <v>9.5</v>
      </c>
      <c r="L276">
        <v>8.3000000000000007</v>
      </c>
      <c r="M276">
        <v>24.3</v>
      </c>
      <c r="N276">
        <v>30.5</v>
      </c>
    </row>
    <row r="277" spans="1:14" x14ac:dyDescent="0.2">
      <c r="A277" t="s">
        <v>65</v>
      </c>
      <c r="B277">
        <v>35</v>
      </c>
      <c r="C277">
        <v>82</v>
      </c>
      <c r="D277">
        <v>25</v>
      </c>
      <c r="F277">
        <v>879</v>
      </c>
      <c r="H277">
        <v>734</v>
      </c>
      <c r="I277">
        <v>0.83</v>
      </c>
      <c r="J277">
        <v>12.2</v>
      </c>
      <c r="L277">
        <v>10.7</v>
      </c>
      <c r="M277">
        <v>26.9</v>
      </c>
      <c r="N277">
        <v>32.299999999999997</v>
      </c>
    </row>
    <row r="278" spans="1:14" x14ac:dyDescent="0.2">
      <c r="A278" t="s">
        <v>248</v>
      </c>
      <c r="B278">
        <v>35</v>
      </c>
      <c r="C278">
        <v>82</v>
      </c>
      <c r="D278">
        <v>19</v>
      </c>
      <c r="F278">
        <v>649</v>
      </c>
      <c r="H278">
        <v>555</v>
      </c>
      <c r="I278">
        <v>0.86</v>
      </c>
      <c r="J278">
        <v>9</v>
      </c>
      <c r="L278">
        <v>7.9</v>
      </c>
      <c r="M278">
        <v>26.5</v>
      </c>
      <c r="N278">
        <v>31</v>
      </c>
    </row>
    <row r="279" spans="1:14" x14ac:dyDescent="0.2">
      <c r="A279" t="s">
        <v>249</v>
      </c>
      <c r="B279">
        <v>36</v>
      </c>
      <c r="C279">
        <v>81</v>
      </c>
      <c r="D279">
        <v>20</v>
      </c>
      <c r="F279">
        <v>711</v>
      </c>
      <c r="H279">
        <v>595</v>
      </c>
      <c r="I279">
        <v>0.84</v>
      </c>
      <c r="J279">
        <v>9.9</v>
      </c>
      <c r="L279">
        <v>8.8000000000000007</v>
      </c>
      <c r="M279">
        <v>25</v>
      </c>
      <c r="N279">
        <v>30</v>
      </c>
    </row>
    <row r="280" spans="1:14" x14ac:dyDescent="0.2">
      <c r="A280" t="s">
        <v>67</v>
      </c>
      <c r="B280">
        <v>36</v>
      </c>
      <c r="C280">
        <v>81</v>
      </c>
      <c r="D280">
        <v>24</v>
      </c>
      <c r="F280">
        <v>853</v>
      </c>
      <c r="H280">
        <v>740</v>
      </c>
      <c r="I280">
        <v>0.87</v>
      </c>
      <c r="J280">
        <v>11.8</v>
      </c>
      <c r="L280">
        <v>10.5</v>
      </c>
      <c r="M280">
        <v>26.8</v>
      </c>
      <c r="N280">
        <v>30.9</v>
      </c>
    </row>
    <row r="281" spans="1:14" x14ac:dyDescent="0.2">
      <c r="A281" t="s">
        <v>250</v>
      </c>
      <c r="B281">
        <v>37</v>
      </c>
      <c r="C281">
        <v>81</v>
      </c>
      <c r="D281">
        <v>21</v>
      </c>
      <c r="F281">
        <v>705</v>
      </c>
      <c r="H281">
        <v>617</v>
      </c>
      <c r="I281">
        <v>0.88</v>
      </c>
      <c r="J281">
        <v>9.8000000000000007</v>
      </c>
      <c r="L281">
        <v>8.6999999999999993</v>
      </c>
      <c r="M281">
        <v>26.3</v>
      </c>
      <c r="N281">
        <v>30</v>
      </c>
    </row>
    <row r="282" spans="1:14" x14ac:dyDescent="0.2">
      <c r="A282" t="s">
        <v>68</v>
      </c>
      <c r="B282">
        <v>38</v>
      </c>
      <c r="C282">
        <v>81</v>
      </c>
      <c r="D282">
        <v>22</v>
      </c>
      <c r="F282">
        <v>741</v>
      </c>
      <c r="H282">
        <v>627</v>
      </c>
      <c r="I282">
        <v>0.85</v>
      </c>
      <c r="J282">
        <v>10.3</v>
      </c>
      <c r="L282">
        <v>9.1999999999999993</v>
      </c>
      <c r="M282">
        <v>26.2</v>
      </c>
      <c r="N282">
        <v>30.9</v>
      </c>
    </row>
    <row r="283" spans="1:14" x14ac:dyDescent="0.2">
      <c r="A283" t="s">
        <v>251</v>
      </c>
      <c r="B283">
        <v>38</v>
      </c>
      <c r="C283">
        <v>81</v>
      </c>
      <c r="D283">
        <v>22</v>
      </c>
      <c r="F283">
        <v>787</v>
      </c>
      <c r="H283">
        <v>666</v>
      </c>
      <c r="I283">
        <v>0.85</v>
      </c>
      <c r="J283">
        <v>10.9</v>
      </c>
      <c r="L283">
        <v>9.6999999999999993</v>
      </c>
      <c r="M283">
        <v>25</v>
      </c>
      <c r="N283">
        <v>29.6</v>
      </c>
    </row>
    <row r="284" spans="1:14" x14ac:dyDescent="0.2">
      <c r="A284" t="s">
        <v>252</v>
      </c>
      <c r="B284">
        <v>39</v>
      </c>
      <c r="C284">
        <v>84</v>
      </c>
      <c r="D284">
        <v>19</v>
      </c>
      <c r="F284">
        <v>634</v>
      </c>
      <c r="H284">
        <v>560</v>
      </c>
      <c r="I284">
        <v>0.88</v>
      </c>
      <c r="J284">
        <v>8.8000000000000007</v>
      </c>
      <c r="L284">
        <v>7.5</v>
      </c>
      <c r="M284">
        <v>27.7</v>
      </c>
      <c r="N284">
        <v>31.3</v>
      </c>
    </row>
    <row r="285" spans="1:14" x14ac:dyDescent="0.2">
      <c r="A285" t="s">
        <v>70</v>
      </c>
      <c r="B285">
        <v>40</v>
      </c>
      <c r="C285">
        <v>84</v>
      </c>
      <c r="D285">
        <v>22</v>
      </c>
      <c r="F285">
        <v>793</v>
      </c>
      <c r="H285">
        <v>688</v>
      </c>
      <c r="I285">
        <v>0.87</v>
      </c>
      <c r="J285">
        <v>11</v>
      </c>
      <c r="L285">
        <v>9.4</v>
      </c>
      <c r="M285">
        <v>25.6</v>
      </c>
      <c r="N285">
        <v>29.5</v>
      </c>
    </row>
    <row r="286" spans="1:14" x14ac:dyDescent="0.2">
      <c r="A286" t="s">
        <v>253</v>
      </c>
      <c r="B286">
        <v>41</v>
      </c>
      <c r="C286">
        <v>85</v>
      </c>
      <c r="D286">
        <v>20</v>
      </c>
      <c r="F286">
        <v>701</v>
      </c>
      <c r="H286">
        <v>610</v>
      </c>
      <c r="I286">
        <v>0.87</v>
      </c>
      <c r="J286">
        <v>9.6999999999999993</v>
      </c>
      <c r="L286">
        <v>8.1999999999999993</v>
      </c>
      <c r="M286">
        <v>26.1</v>
      </c>
      <c r="N286">
        <v>30</v>
      </c>
    </row>
    <row r="287" spans="1:14" x14ac:dyDescent="0.2">
      <c r="A287" t="s">
        <v>254</v>
      </c>
      <c r="B287">
        <v>42</v>
      </c>
      <c r="C287">
        <v>88</v>
      </c>
      <c r="D287">
        <v>26</v>
      </c>
      <c r="F287">
        <v>932</v>
      </c>
      <c r="H287">
        <v>809</v>
      </c>
      <c r="I287">
        <v>0.87</v>
      </c>
      <c r="J287">
        <v>12.9</v>
      </c>
      <c r="L287">
        <v>10.6</v>
      </c>
      <c r="M287">
        <v>26.9</v>
      </c>
      <c r="N287">
        <v>31</v>
      </c>
    </row>
    <row r="288" spans="1:14" x14ac:dyDescent="0.2">
      <c r="A288" t="s">
        <v>255</v>
      </c>
      <c r="B288">
        <v>43</v>
      </c>
      <c r="C288">
        <v>88</v>
      </c>
      <c r="D288">
        <v>21</v>
      </c>
      <c r="F288">
        <v>665</v>
      </c>
      <c r="H288">
        <v>621</v>
      </c>
      <c r="I288">
        <v>0.93</v>
      </c>
      <c r="J288">
        <v>9.1999999999999993</v>
      </c>
      <c r="L288">
        <v>7.6</v>
      </c>
      <c r="M288">
        <v>29</v>
      </c>
      <c r="N288">
        <v>31.1</v>
      </c>
    </row>
    <row r="289" spans="1:14" x14ac:dyDescent="0.2">
      <c r="A289" t="s">
        <v>256</v>
      </c>
      <c r="B289">
        <v>43</v>
      </c>
      <c r="C289">
        <v>87</v>
      </c>
      <c r="D289">
        <v>22</v>
      </c>
      <c r="F289">
        <v>725</v>
      </c>
      <c r="H289">
        <v>670</v>
      </c>
      <c r="I289">
        <v>0.92</v>
      </c>
      <c r="J289">
        <v>10.1</v>
      </c>
      <c r="L289">
        <v>8.3000000000000007</v>
      </c>
      <c r="M289">
        <v>27.5</v>
      </c>
      <c r="N289">
        <v>29.8</v>
      </c>
    </row>
    <row r="290" spans="1:14" x14ac:dyDescent="0.2">
      <c r="A290" t="s">
        <v>257</v>
      </c>
      <c r="B290">
        <v>45</v>
      </c>
      <c r="C290">
        <v>87</v>
      </c>
      <c r="D290">
        <v>28</v>
      </c>
      <c r="F290">
        <v>885</v>
      </c>
      <c r="H290">
        <v>827</v>
      </c>
      <c r="I290">
        <v>0.93</v>
      </c>
      <c r="J290">
        <v>12.3</v>
      </c>
      <c r="L290">
        <v>10.199999999999999</v>
      </c>
      <c r="M290">
        <v>29.7</v>
      </c>
      <c r="N290">
        <v>31.8</v>
      </c>
    </row>
    <row r="291" spans="1:14" x14ac:dyDescent="0.2">
      <c r="A291" t="s">
        <v>74</v>
      </c>
      <c r="B291">
        <v>45</v>
      </c>
      <c r="C291">
        <v>87</v>
      </c>
      <c r="D291">
        <v>22</v>
      </c>
      <c r="F291">
        <v>691</v>
      </c>
      <c r="H291">
        <v>662</v>
      </c>
      <c r="I291">
        <v>0.96</v>
      </c>
      <c r="J291">
        <v>9.6</v>
      </c>
      <c r="L291">
        <v>7.9</v>
      </c>
      <c r="M291">
        <v>29.2</v>
      </c>
      <c r="N291">
        <v>30.5</v>
      </c>
    </row>
    <row r="292" spans="1:14" x14ac:dyDescent="0.2">
      <c r="A292" t="s">
        <v>258</v>
      </c>
      <c r="B292">
        <v>46</v>
      </c>
      <c r="C292">
        <v>87</v>
      </c>
      <c r="D292">
        <v>23</v>
      </c>
      <c r="F292">
        <v>749</v>
      </c>
      <c r="H292">
        <v>689</v>
      </c>
      <c r="I292">
        <v>0.92</v>
      </c>
      <c r="J292">
        <v>10.4</v>
      </c>
      <c r="L292">
        <v>8.6</v>
      </c>
      <c r="M292">
        <v>27.5</v>
      </c>
      <c r="N292">
        <v>30</v>
      </c>
    </row>
    <row r="293" spans="1:14" x14ac:dyDescent="0.2">
      <c r="A293" t="s">
        <v>259</v>
      </c>
      <c r="B293">
        <v>46</v>
      </c>
      <c r="C293">
        <v>87</v>
      </c>
      <c r="D293">
        <v>21</v>
      </c>
      <c r="F293">
        <v>687</v>
      </c>
      <c r="H293">
        <v>634</v>
      </c>
      <c r="I293">
        <v>0.92</v>
      </c>
      <c r="J293">
        <v>9.5</v>
      </c>
      <c r="L293">
        <v>7.9</v>
      </c>
      <c r="M293">
        <v>27.4</v>
      </c>
      <c r="N293">
        <v>29.7</v>
      </c>
    </row>
    <row r="294" spans="1:14" x14ac:dyDescent="0.2">
      <c r="A294" t="s">
        <v>76</v>
      </c>
      <c r="B294">
        <v>47</v>
      </c>
      <c r="C294">
        <v>86</v>
      </c>
      <c r="D294">
        <v>21</v>
      </c>
      <c r="F294">
        <v>725</v>
      </c>
      <c r="H294">
        <v>657</v>
      </c>
      <c r="I294">
        <v>0.91</v>
      </c>
      <c r="J294">
        <v>10.1</v>
      </c>
      <c r="L294">
        <v>8.4</v>
      </c>
      <c r="M294">
        <v>26.3</v>
      </c>
      <c r="N294">
        <v>29</v>
      </c>
    </row>
    <row r="295" spans="1:14" x14ac:dyDescent="0.2">
      <c r="A295" t="s">
        <v>260</v>
      </c>
      <c r="B295">
        <v>48</v>
      </c>
      <c r="C295">
        <v>87</v>
      </c>
      <c r="D295">
        <v>34</v>
      </c>
      <c r="F295">
        <v>1099</v>
      </c>
      <c r="H295">
        <v>1026</v>
      </c>
      <c r="I295">
        <v>0.93</v>
      </c>
      <c r="J295">
        <v>15.2</v>
      </c>
      <c r="L295">
        <v>12.6</v>
      </c>
      <c r="M295">
        <v>29.7</v>
      </c>
      <c r="N295">
        <v>31.8</v>
      </c>
    </row>
    <row r="296" spans="1:14" x14ac:dyDescent="0.2">
      <c r="A296" t="s">
        <v>261</v>
      </c>
      <c r="B296">
        <v>48</v>
      </c>
      <c r="C296">
        <v>87</v>
      </c>
      <c r="D296">
        <v>20</v>
      </c>
      <c r="F296">
        <v>586</v>
      </c>
      <c r="H296">
        <v>566</v>
      </c>
      <c r="I296">
        <v>0.96</v>
      </c>
      <c r="J296">
        <v>8.1</v>
      </c>
      <c r="L296">
        <v>6.7</v>
      </c>
      <c r="M296">
        <v>30</v>
      </c>
      <c r="N296">
        <v>31.1</v>
      </c>
    </row>
    <row r="297" spans="1:14" x14ac:dyDescent="0.2">
      <c r="A297" t="s">
        <v>262</v>
      </c>
      <c r="B297">
        <v>50</v>
      </c>
      <c r="C297">
        <v>87</v>
      </c>
      <c r="D297">
        <v>26</v>
      </c>
      <c r="F297">
        <v>897</v>
      </c>
      <c r="H297">
        <v>844</v>
      </c>
      <c r="I297">
        <v>0.94</v>
      </c>
      <c r="J297">
        <v>12.4</v>
      </c>
      <c r="L297">
        <v>10.3</v>
      </c>
      <c r="M297">
        <v>26.9</v>
      </c>
      <c r="N297">
        <v>28.6</v>
      </c>
    </row>
    <row r="298" spans="1:14" x14ac:dyDescent="0.2">
      <c r="A298" t="s">
        <v>263</v>
      </c>
      <c r="B298">
        <v>51</v>
      </c>
      <c r="C298">
        <v>89</v>
      </c>
      <c r="D298">
        <v>26</v>
      </c>
      <c r="F298">
        <v>829</v>
      </c>
      <c r="H298">
        <v>797</v>
      </c>
      <c r="I298">
        <v>0.96</v>
      </c>
      <c r="J298">
        <v>11.5</v>
      </c>
      <c r="L298">
        <v>9.3000000000000007</v>
      </c>
      <c r="M298">
        <v>30</v>
      </c>
      <c r="N298">
        <v>31.2</v>
      </c>
    </row>
    <row r="299" spans="1:14" x14ac:dyDescent="0.2">
      <c r="A299" t="s">
        <v>264</v>
      </c>
      <c r="B299">
        <v>51</v>
      </c>
      <c r="C299">
        <v>89</v>
      </c>
      <c r="D299">
        <v>30</v>
      </c>
      <c r="F299">
        <v>987</v>
      </c>
      <c r="H299">
        <v>946</v>
      </c>
      <c r="I299">
        <v>0.96</v>
      </c>
      <c r="J299">
        <v>13.7</v>
      </c>
      <c r="L299">
        <v>11.1</v>
      </c>
      <c r="M299">
        <v>28.7</v>
      </c>
      <c r="N299">
        <v>30</v>
      </c>
    </row>
    <row r="300" spans="1:14" x14ac:dyDescent="0.2">
      <c r="A300" t="s">
        <v>265</v>
      </c>
      <c r="B300">
        <v>52</v>
      </c>
      <c r="C300">
        <v>89</v>
      </c>
      <c r="D300">
        <v>22</v>
      </c>
      <c r="F300">
        <v>614</v>
      </c>
      <c r="H300">
        <v>560</v>
      </c>
      <c r="I300">
        <v>0.91</v>
      </c>
      <c r="J300">
        <v>8.5</v>
      </c>
      <c r="L300">
        <v>6.9</v>
      </c>
      <c r="M300">
        <v>29.9</v>
      </c>
      <c r="N300">
        <v>32.799999999999997</v>
      </c>
    </row>
    <row r="301" spans="1:14" x14ac:dyDescent="0.2">
      <c r="A301" t="s">
        <v>81</v>
      </c>
      <c r="B301">
        <v>52</v>
      </c>
      <c r="C301">
        <v>89</v>
      </c>
      <c r="D301">
        <v>15</v>
      </c>
      <c r="F301">
        <v>405</v>
      </c>
      <c r="H301">
        <v>353</v>
      </c>
      <c r="I301">
        <v>0.87</v>
      </c>
      <c r="J301">
        <v>5.6</v>
      </c>
      <c r="L301">
        <v>4.5999999999999996</v>
      </c>
      <c r="M301">
        <v>28.6</v>
      </c>
      <c r="N301">
        <v>32.799999999999997</v>
      </c>
    </row>
    <row r="302" spans="1:14" x14ac:dyDescent="0.2">
      <c r="A302" t="s">
        <v>266</v>
      </c>
      <c r="B302">
        <v>53</v>
      </c>
      <c r="C302">
        <v>88</v>
      </c>
      <c r="D302">
        <v>24</v>
      </c>
      <c r="F302">
        <v>777</v>
      </c>
      <c r="H302">
        <v>737</v>
      </c>
      <c r="I302">
        <v>0.95</v>
      </c>
      <c r="J302">
        <v>10.8</v>
      </c>
      <c r="L302">
        <v>8.8000000000000007</v>
      </c>
      <c r="M302">
        <v>28.2</v>
      </c>
      <c r="N302">
        <v>29.7</v>
      </c>
    </row>
    <row r="303" spans="1:14" x14ac:dyDescent="0.2">
      <c r="A303" t="s">
        <v>267</v>
      </c>
      <c r="B303">
        <v>54</v>
      </c>
      <c r="C303">
        <v>88</v>
      </c>
      <c r="D303">
        <v>22</v>
      </c>
      <c r="F303">
        <v>729</v>
      </c>
      <c r="H303">
        <v>682</v>
      </c>
      <c r="I303">
        <v>0.94</v>
      </c>
      <c r="J303">
        <v>10.1</v>
      </c>
      <c r="L303">
        <v>8.3000000000000007</v>
      </c>
      <c r="M303">
        <v>26.9</v>
      </c>
      <c r="N303">
        <v>28.7</v>
      </c>
    </row>
    <row r="304" spans="1:14" x14ac:dyDescent="0.2">
      <c r="A304" t="s">
        <v>268</v>
      </c>
      <c r="B304">
        <v>55</v>
      </c>
      <c r="C304">
        <v>88</v>
      </c>
      <c r="D304">
        <v>24</v>
      </c>
      <c r="F304">
        <v>836</v>
      </c>
      <c r="H304">
        <v>781</v>
      </c>
      <c r="I304">
        <v>0.93</v>
      </c>
      <c r="J304">
        <v>11.6</v>
      </c>
      <c r="L304">
        <v>9.5</v>
      </c>
      <c r="M304">
        <v>26.6</v>
      </c>
      <c r="N304">
        <v>28.5</v>
      </c>
    </row>
    <row r="305" spans="1:14" x14ac:dyDescent="0.2">
      <c r="A305" t="s">
        <v>84</v>
      </c>
      <c r="B305">
        <v>56</v>
      </c>
      <c r="C305">
        <v>90</v>
      </c>
      <c r="D305">
        <v>30</v>
      </c>
      <c r="F305">
        <v>1002</v>
      </c>
      <c r="H305">
        <v>930</v>
      </c>
      <c r="I305">
        <v>0.93</v>
      </c>
      <c r="J305">
        <v>13.9</v>
      </c>
      <c r="L305">
        <v>11.1</v>
      </c>
      <c r="M305">
        <v>28.5</v>
      </c>
      <c r="N305">
        <v>30.7</v>
      </c>
    </row>
    <row r="306" spans="1:14" x14ac:dyDescent="0.2">
      <c r="A306" t="s">
        <v>269</v>
      </c>
      <c r="B306">
        <v>56</v>
      </c>
      <c r="C306">
        <v>91</v>
      </c>
      <c r="D306">
        <v>22</v>
      </c>
      <c r="F306">
        <v>719</v>
      </c>
      <c r="H306">
        <v>671</v>
      </c>
      <c r="I306">
        <v>0.93</v>
      </c>
      <c r="J306">
        <v>10</v>
      </c>
      <c r="L306">
        <v>7.9</v>
      </c>
      <c r="M306">
        <v>27.3</v>
      </c>
      <c r="N306">
        <v>29.3</v>
      </c>
    </row>
    <row r="307" spans="1:14" x14ac:dyDescent="0.2">
      <c r="A307" t="s">
        <v>270</v>
      </c>
      <c r="B307">
        <v>57</v>
      </c>
      <c r="C307">
        <v>91</v>
      </c>
      <c r="D307">
        <v>31</v>
      </c>
      <c r="F307">
        <v>978</v>
      </c>
      <c r="H307">
        <v>962</v>
      </c>
      <c r="I307">
        <v>0.98</v>
      </c>
      <c r="J307">
        <v>13.6</v>
      </c>
      <c r="L307">
        <v>10.8</v>
      </c>
      <c r="M307">
        <v>30.7</v>
      </c>
      <c r="N307">
        <v>31.3</v>
      </c>
    </row>
    <row r="308" spans="1:14" x14ac:dyDescent="0.2">
      <c r="A308" t="s">
        <v>271</v>
      </c>
      <c r="B308">
        <v>58</v>
      </c>
      <c r="C308">
        <v>91</v>
      </c>
      <c r="D308">
        <v>20</v>
      </c>
      <c r="F308">
        <v>728</v>
      </c>
      <c r="H308">
        <v>684</v>
      </c>
      <c r="I308">
        <v>0.94</v>
      </c>
      <c r="J308">
        <v>10.1</v>
      </c>
      <c r="L308">
        <v>8</v>
      </c>
      <c r="M308">
        <v>26</v>
      </c>
      <c r="N308">
        <v>27.7</v>
      </c>
    </row>
    <row r="309" spans="1:14" x14ac:dyDescent="0.2">
      <c r="A309" t="s">
        <v>272</v>
      </c>
      <c r="B309">
        <v>59</v>
      </c>
      <c r="C309">
        <v>92</v>
      </c>
      <c r="D309">
        <v>24</v>
      </c>
      <c r="F309">
        <v>808</v>
      </c>
      <c r="H309">
        <v>757</v>
      </c>
      <c r="I309">
        <v>0.94</v>
      </c>
      <c r="J309">
        <v>11.2</v>
      </c>
      <c r="L309">
        <v>8.8000000000000007</v>
      </c>
      <c r="M309">
        <v>26.7</v>
      </c>
      <c r="N309">
        <v>28.5</v>
      </c>
    </row>
    <row r="310" spans="1:14" x14ac:dyDescent="0.2">
      <c r="A310" t="s">
        <v>273</v>
      </c>
      <c r="B310">
        <v>60</v>
      </c>
      <c r="C310">
        <v>92</v>
      </c>
      <c r="D310">
        <v>24</v>
      </c>
      <c r="F310">
        <v>825</v>
      </c>
      <c r="H310">
        <v>777</v>
      </c>
      <c r="I310">
        <v>0.94</v>
      </c>
      <c r="J310">
        <v>11.4</v>
      </c>
      <c r="L310">
        <v>9</v>
      </c>
      <c r="M310">
        <v>26.6</v>
      </c>
      <c r="N310">
        <v>28.2</v>
      </c>
    </row>
    <row r="311" spans="1:14" x14ac:dyDescent="0.2">
      <c r="A311" t="s">
        <v>274</v>
      </c>
      <c r="B311">
        <v>61</v>
      </c>
      <c r="C311">
        <v>91</v>
      </c>
      <c r="D311">
        <v>34</v>
      </c>
      <c r="F311">
        <v>1053</v>
      </c>
      <c r="H311">
        <v>1046</v>
      </c>
      <c r="I311">
        <v>0.99</v>
      </c>
      <c r="J311">
        <v>14.6</v>
      </c>
      <c r="L311">
        <v>11.6</v>
      </c>
      <c r="M311">
        <v>30.7</v>
      </c>
      <c r="N311">
        <v>30.9</v>
      </c>
    </row>
    <row r="312" spans="1:14" x14ac:dyDescent="0.2">
      <c r="A312" t="s">
        <v>275</v>
      </c>
      <c r="B312">
        <v>62</v>
      </c>
      <c r="C312">
        <v>90</v>
      </c>
      <c r="D312">
        <v>30</v>
      </c>
      <c r="F312">
        <v>921</v>
      </c>
      <c r="H312">
        <v>957</v>
      </c>
      <c r="I312">
        <v>1.04</v>
      </c>
      <c r="J312">
        <v>12.8</v>
      </c>
      <c r="L312">
        <v>10.199999999999999</v>
      </c>
      <c r="M312">
        <v>31.7</v>
      </c>
      <c r="N312">
        <v>30.5</v>
      </c>
    </row>
    <row r="313" spans="1:14" x14ac:dyDescent="0.2">
      <c r="A313" t="s">
        <v>276</v>
      </c>
      <c r="B313">
        <v>63</v>
      </c>
      <c r="C313">
        <v>91</v>
      </c>
      <c r="D313">
        <v>30</v>
      </c>
      <c r="F313">
        <v>942</v>
      </c>
      <c r="H313">
        <v>988</v>
      </c>
      <c r="I313">
        <v>1.05</v>
      </c>
      <c r="J313">
        <v>13.1</v>
      </c>
      <c r="L313">
        <v>10.3</v>
      </c>
      <c r="M313">
        <v>30.5</v>
      </c>
      <c r="N313">
        <v>29.1</v>
      </c>
    </row>
    <row r="314" spans="1:14" x14ac:dyDescent="0.2">
      <c r="A314" t="s">
        <v>277</v>
      </c>
      <c r="B314">
        <v>65</v>
      </c>
      <c r="C314">
        <v>94</v>
      </c>
      <c r="D314">
        <v>24</v>
      </c>
      <c r="F314">
        <v>848</v>
      </c>
      <c r="H314">
        <v>845</v>
      </c>
      <c r="I314">
        <v>1</v>
      </c>
      <c r="J314">
        <v>11.8</v>
      </c>
      <c r="L314">
        <v>9</v>
      </c>
      <c r="M314">
        <v>27.7</v>
      </c>
      <c r="N314">
        <v>27.8</v>
      </c>
    </row>
    <row r="315" spans="1:14" x14ac:dyDescent="0.2">
      <c r="A315" t="s">
        <v>278</v>
      </c>
      <c r="B315">
        <v>66</v>
      </c>
      <c r="C315">
        <v>95</v>
      </c>
      <c r="D315">
        <v>27</v>
      </c>
      <c r="F315">
        <v>1011</v>
      </c>
      <c r="H315">
        <v>957</v>
      </c>
      <c r="I315">
        <v>0.95</v>
      </c>
      <c r="J315">
        <v>14</v>
      </c>
      <c r="L315">
        <v>10.6</v>
      </c>
      <c r="M315">
        <v>25.7</v>
      </c>
      <c r="N315">
        <v>27.1</v>
      </c>
    </row>
    <row r="316" spans="1:14" x14ac:dyDescent="0.2">
      <c r="A316" t="s">
        <v>94</v>
      </c>
      <c r="B316">
        <v>67</v>
      </c>
      <c r="C316">
        <v>96</v>
      </c>
      <c r="D316">
        <v>26</v>
      </c>
      <c r="F316">
        <v>989</v>
      </c>
      <c r="H316">
        <v>910</v>
      </c>
      <c r="I316">
        <v>0.92</v>
      </c>
      <c r="J316">
        <v>13.7</v>
      </c>
      <c r="L316">
        <v>10.3</v>
      </c>
      <c r="M316">
        <v>25</v>
      </c>
      <c r="N316">
        <v>27.1</v>
      </c>
    </row>
    <row r="317" spans="1:14" x14ac:dyDescent="0.2">
      <c r="A317" t="s">
        <v>279</v>
      </c>
      <c r="B317">
        <v>68</v>
      </c>
      <c r="C317">
        <v>96</v>
      </c>
      <c r="D317">
        <v>35</v>
      </c>
      <c r="F317">
        <v>1184</v>
      </c>
      <c r="H317">
        <v>1144</v>
      </c>
      <c r="I317">
        <v>0.97</v>
      </c>
      <c r="J317">
        <v>16.399999999999999</v>
      </c>
      <c r="L317">
        <v>12.3</v>
      </c>
      <c r="M317">
        <v>28.1</v>
      </c>
      <c r="N317">
        <v>29.1</v>
      </c>
    </row>
    <row r="318" spans="1:14" x14ac:dyDescent="0.2">
      <c r="A318" t="s">
        <v>280</v>
      </c>
      <c r="B318">
        <v>69</v>
      </c>
      <c r="C318">
        <v>97</v>
      </c>
      <c r="D318">
        <v>33</v>
      </c>
      <c r="F318">
        <v>1102</v>
      </c>
      <c r="H318">
        <v>1109</v>
      </c>
      <c r="I318">
        <v>1.01</v>
      </c>
      <c r="J318">
        <v>15.3</v>
      </c>
      <c r="L318">
        <v>11.4</v>
      </c>
      <c r="M318">
        <v>28.8</v>
      </c>
      <c r="N318">
        <v>28.7</v>
      </c>
    </row>
    <row r="319" spans="1:14" x14ac:dyDescent="0.2">
      <c r="A319" t="s">
        <v>281</v>
      </c>
      <c r="B319">
        <v>71</v>
      </c>
      <c r="C319">
        <v>97</v>
      </c>
      <c r="D319">
        <v>29</v>
      </c>
      <c r="F319">
        <v>980</v>
      </c>
      <c r="H319">
        <v>987</v>
      </c>
      <c r="I319">
        <v>1.01</v>
      </c>
      <c r="J319">
        <v>13.6</v>
      </c>
      <c r="L319">
        <v>10.1</v>
      </c>
      <c r="M319">
        <v>28.3</v>
      </c>
      <c r="N319">
        <v>28.2</v>
      </c>
    </row>
    <row r="320" spans="1:14" x14ac:dyDescent="0.2">
      <c r="A320" t="s">
        <v>282</v>
      </c>
      <c r="B320">
        <v>71</v>
      </c>
      <c r="C320">
        <v>99</v>
      </c>
      <c r="D320">
        <v>28</v>
      </c>
      <c r="F320">
        <v>1004</v>
      </c>
      <c r="H320">
        <v>980</v>
      </c>
      <c r="I320">
        <v>0.98</v>
      </c>
      <c r="J320">
        <v>13.9</v>
      </c>
      <c r="L320">
        <v>10.1</v>
      </c>
      <c r="M320">
        <v>26.6</v>
      </c>
      <c r="N320">
        <v>27.2</v>
      </c>
    </row>
    <row r="321" spans="1:14" x14ac:dyDescent="0.2">
      <c r="A321" t="s">
        <v>283</v>
      </c>
      <c r="B321">
        <v>72</v>
      </c>
      <c r="C321">
        <v>101</v>
      </c>
      <c r="D321">
        <v>31</v>
      </c>
      <c r="F321">
        <v>1145</v>
      </c>
      <c r="H321">
        <v>1113</v>
      </c>
      <c r="I321">
        <v>0.97</v>
      </c>
      <c r="J321">
        <v>15.9</v>
      </c>
      <c r="L321">
        <v>11.3</v>
      </c>
      <c r="M321">
        <v>25.7</v>
      </c>
      <c r="N321">
        <v>26.5</v>
      </c>
    </row>
    <row r="322" spans="1:14" x14ac:dyDescent="0.2">
      <c r="A322" t="s">
        <v>284</v>
      </c>
      <c r="B322">
        <v>73</v>
      </c>
      <c r="C322">
        <v>103</v>
      </c>
      <c r="D322">
        <v>33</v>
      </c>
      <c r="F322">
        <v>1129</v>
      </c>
      <c r="H322">
        <v>1124</v>
      </c>
      <c r="I322">
        <v>1</v>
      </c>
      <c r="J322">
        <v>15.7</v>
      </c>
      <c r="L322">
        <v>11</v>
      </c>
      <c r="M322">
        <v>27.9</v>
      </c>
      <c r="N322">
        <v>28.1</v>
      </c>
    </row>
    <row r="323" spans="1:14" x14ac:dyDescent="0.2">
      <c r="A323" t="s">
        <v>285</v>
      </c>
      <c r="B323">
        <v>75</v>
      </c>
      <c r="C323">
        <v>104</v>
      </c>
      <c r="D323">
        <v>31</v>
      </c>
      <c r="F323">
        <v>1097</v>
      </c>
      <c r="H323">
        <v>1105</v>
      </c>
      <c r="I323">
        <v>1.01</v>
      </c>
      <c r="J323">
        <v>15.2</v>
      </c>
      <c r="L323">
        <v>10.5</v>
      </c>
      <c r="M323">
        <v>27.5</v>
      </c>
      <c r="N323">
        <v>27.3</v>
      </c>
    </row>
    <row r="324" spans="1:14" x14ac:dyDescent="0.2">
      <c r="A324" t="s">
        <v>286</v>
      </c>
      <c r="B324">
        <v>76</v>
      </c>
      <c r="C324">
        <v>103</v>
      </c>
      <c r="D324">
        <v>29</v>
      </c>
      <c r="F324">
        <v>1010</v>
      </c>
      <c r="H324">
        <v>1015</v>
      </c>
      <c r="I324">
        <v>1.01</v>
      </c>
      <c r="J324">
        <v>14</v>
      </c>
      <c r="L324">
        <v>9.8000000000000007</v>
      </c>
      <c r="M324">
        <v>27.9</v>
      </c>
      <c r="N324">
        <v>27.7</v>
      </c>
    </row>
    <row r="325" spans="1:14" x14ac:dyDescent="0.2">
      <c r="A325" t="s">
        <v>287</v>
      </c>
      <c r="B325">
        <v>77</v>
      </c>
      <c r="C325">
        <v>106</v>
      </c>
      <c r="D325">
        <v>28</v>
      </c>
      <c r="F325">
        <v>1028</v>
      </c>
      <c r="H325">
        <v>994</v>
      </c>
      <c r="I325">
        <v>0.97</v>
      </c>
      <c r="J325">
        <v>14.3</v>
      </c>
      <c r="L325">
        <v>9.6999999999999993</v>
      </c>
      <c r="M325">
        <v>25.6</v>
      </c>
      <c r="N325">
        <v>26.5</v>
      </c>
    </row>
    <row r="326" spans="1:14" x14ac:dyDescent="0.2">
      <c r="A326" t="s">
        <v>288</v>
      </c>
      <c r="B326">
        <v>78</v>
      </c>
      <c r="C326">
        <v>106</v>
      </c>
      <c r="D326">
        <v>34</v>
      </c>
      <c r="F326">
        <v>1201</v>
      </c>
      <c r="H326">
        <v>1196</v>
      </c>
      <c r="I326">
        <v>1</v>
      </c>
      <c r="J326">
        <v>16.7</v>
      </c>
      <c r="L326">
        <v>11.3</v>
      </c>
      <c r="M326">
        <v>27.2</v>
      </c>
      <c r="N326">
        <v>27.3</v>
      </c>
    </row>
    <row r="327" spans="1:14" x14ac:dyDescent="0.2">
      <c r="A327" t="s">
        <v>289</v>
      </c>
      <c r="B327">
        <v>79</v>
      </c>
      <c r="C327">
        <v>106</v>
      </c>
      <c r="D327">
        <v>43</v>
      </c>
      <c r="F327">
        <v>1466</v>
      </c>
      <c r="H327">
        <v>1465</v>
      </c>
      <c r="I327">
        <v>1</v>
      </c>
      <c r="J327">
        <v>20.3</v>
      </c>
      <c r="L327">
        <v>13.8</v>
      </c>
      <c r="M327">
        <v>28</v>
      </c>
      <c r="N327">
        <v>28</v>
      </c>
    </row>
    <row r="328" spans="1:14" x14ac:dyDescent="0.2">
      <c r="A328" t="s">
        <v>106</v>
      </c>
      <c r="B328">
        <v>80</v>
      </c>
      <c r="C328">
        <v>106</v>
      </c>
      <c r="D328">
        <v>45</v>
      </c>
      <c r="F328">
        <v>1283</v>
      </c>
      <c r="H328">
        <v>1376</v>
      </c>
      <c r="I328">
        <v>1.07</v>
      </c>
      <c r="J328">
        <v>17.8</v>
      </c>
      <c r="L328">
        <v>12.1</v>
      </c>
      <c r="M328">
        <v>33.1</v>
      </c>
      <c r="N328">
        <v>30.8</v>
      </c>
    </row>
    <row r="329" spans="1:14" x14ac:dyDescent="0.2">
      <c r="A329" t="s">
        <v>107</v>
      </c>
      <c r="B329">
        <v>80</v>
      </c>
      <c r="C329">
        <v>105</v>
      </c>
      <c r="D329">
        <v>34</v>
      </c>
      <c r="F329">
        <v>995</v>
      </c>
      <c r="H329">
        <v>1131</v>
      </c>
      <c r="I329">
        <v>1.1399999999999999</v>
      </c>
      <c r="J329">
        <v>13.8</v>
      </c>
      <c r="L329">
        <v>9.5</v>
      </c>
      <c r="M329">
        <v>33.4</v>
      </c>
      <c r="N329">
        <v>29.4</v>
      </c>
    </row>
    <row r="330" spans="1:14" x14ac:dyDescent="0.2">
      <c r="A330" t="s">
        <v>290</v>
      </c>
      <c r="B330">
        <v>81</v>
      </c>
      <c r="C330">
        <v>105</v>
      </c>
      <c r="D330">
        <v>35</v>
      </c>
      <c r="F330">
        <v>1081</v>
      </c>
      <c r="H330">
        <v>1184</v>
      </c>
      <c r="I330">
        <v>1.1000000000000001</v>
      </c>
      <c r="J330">
        <v>15</v>
      </c>
      <c r="L330">
        <v>10.3</v>
      </c>
      <c r="M330">
        <v>30.3</v>
      </c>
      <c r="N330">
        <v>27.7</v>
      </c>
    </row>
    <row r="331" spans="1:14" x14ac:dyDescent="0.2">
      <c r="A331" t="s">
        <v>291</v>
      </c>
      <c r="B331">
        <v>82</v>
      </c>
      <c r="C331">
        <v>105</v>
      </c>
      <c r="D331">
        <v>36</v>
      </c>
      <c r="F331">
        <v>1149</v>
      </c>
      <c r="H331">
        <v>1226</v>
      </c>
      <c r="I331">
        <v>1.07</v>
      </c>
      <c r="J331">
        <v>15.9</v>
      </c>
      <c r="L331">
        <v>10.9</v>
      </c>
      <c r="M331">
        <v>30.1</v>
      </c>
      <c r="N331">
        <v>28.2</v>
      </c>
    </row>
    <row r="332" spans="1:14" x14ac:dyDescent="0.2">
      <c r="A332" t="s">
        <v>292</v>
      </c>
      <c r="B332">
        <v>83</v>
      </c>
      <c r="C332">
        <v>106</v>
      </c>
      <c r="D332">
        <v>38</v>
      </c>
      <c r="F332">
        <v>1147</v>
      </c>
      <c r="H332">
        <v>1258</v>
      </c>
      <c r="I332">
        <v>1.1000000000000001</v>
      </c>
      <c r="J332">
        <v>15.9</v>
      </c>
      <c r="L332">
        <v>10.8</v>
      </c>
      <c r="M332">
        <v>31.9</v>
      </c>
      <c r="N332">
        <v>29.1</v>
      </c>
    </row>
    <row r="333" spans="1:14" x14ac:dyDescent="0.2">
      <c r="A333" t="s">
        <v>293</v>
      </c>
      <c r="B333">
        <v>84</v>
      </c>
      <c r="C333">
        <v>106</v>
      </c>
      <c r="D333">
        <v>33</v>
      </c>
      <c r="F333">
        <v>1012</v>
      </c>
      <c r="H333">
        <v>1090</v>
      </c>
      <c r="I333">
        <v>1.08</v>
      </c>
      <c r="J333">
        <v>14</v>
      </c>
      <c r="L333">
        <v>9.5</v>
      </c>
      <c r="M333">
        <v>30.9</v>
      </c>
      <c r="N333">
        <v>28.7</v>
      </c>
    </row>
    <row r="334" spans="1:14" x14ac:dyDescent="0.2">
      <c r="A334" t="s">
        <v>294</v>
      </c>
      <c r="B334">
        <v>85</v>
      </c>
      <c r="C334">
        <v>107</v>
      </c>
      <c r="D334">
        <v>35</v>
      </c>
      <c r="F334">
        <v>1171</v>
      </c>
      <c r="H334">
        <v>1228</v>
      </c>
      <c r="I334">
        <v>1.05</v>
      </c>
      <c r="J334">
        <v>16.2</v>
      </c>
      <c r="L334">
        <v>10.9</v>
      </c>
      <c r="M334">
        <v>28.4</v>
      </c>
      <c r="N334">
        <v>27.1</v>
      </c>
    </row>
    <row r="335" spans="1:14" x14ac:dyDescent="0.2">
      <c r="A335" t="s">
        <v>295</v>
      </c>
      <c r="B335">
        <v>86</v>
      </c>
      <c r="C335">
        <v>108</v>
      </c>
      <c r="D335">
        <v>33</v>
      </c>
      <c r="F335">
        <v>1145</v>
      </c>
      <c r="H335">
        <v>1173</v>
      </c>
      <c r="I335">
        <v>1.02</v>
      </c>
      <c r="J335">
        <v>15.9</v>
      </c>
      <c r="L335">
        <v>10.6</v>
      </c>
      <c r="M335">
        <v>27.6</v>
      </c>
      <c r="N335">
        <v>26.9</v>
      </c>
    </row>
    <row r="336" spans="1:14" x14ac:dyDescent="0.2">
      <c r="A336" t="s">
        <v>113</v>
      </c>
      <c r="B336">
        <v>86</v>
      </c>
      <c r="C336">
        <v>109</v>
      </c>
      <c r="D336">
        <v>35</v>
      </c>
      <c r="F336">
        <v>1213</v>
      </c>
      <c r="H336">
        <v>1240</v>
      </c>
      <c r="I336">
        <v>1.02</v>
      </c>
      <c r="J336">
        <v>16.8</v>
      </c>
      <c r="L336">
        <v>11.1</v>
      </c>
      <c r="M336">
        <v>28</v>
      </c>
      <c r="N336">
        <v>27.4</v>
      </c>
    </row>
    <row r="337" spans="1:14" x14ac:dyDescent="0.2">
      <c r="A337" t="s">
        <v>296</v>
      </c>
      <c r="B337">
        <v>87</v>
      </c>
      <c r="C337">
        <v>108</v>
      </c>
      <c r="D337">
        <v>36</v>
      </c>
      <c r="F337">
        <v>1060</v>
      </c>
      <c r="H337">
        <v>1155</v>
      </c>
      <c r="I337">
        <v>1.0900000000000001</v>
      </c>
      <c r="J337">
        <v>14.7</v>
      </c>
      <c r="L337">
        <v>9.8000000000000007</v>
      </c>
      <c r="M337">
        <v>32</v>
      </c>
      <c r="N337">
        <v>29.3</v>
      </c>
    </row>
    <row r="338" spans="1:14" x14ac:dyDescent="0.2">
      <c r="A338" t="s">
        <v>297</v>
      </c>
      <c r="B338">
        <v>88</v>
      </c>
      <c r="C338">
        <v>108</v>
      </c>
      <c r="D338">
        <v>48</v>
      </c>
      <c r="F338">
        <v>1544</v>
      </c>
      <c r="H338">
        <v>1587</v>
      </c>
      <c r="I338">
        <v>1.03</v>
      </c>
      <c r="J338">
        <v>21.4</v>
      </c>
      <c r="L338">
        <v>14.3</v>
      </c>
      <c r="M338">
        <v>29.3</v>
      </c>
      <c r="N338">
        <v>28.5</v>
      </c>
    </row>
    <row r="339" spans="1:14" x14ac:dyDescent="0.2">
      <c r="A339" t="s">
        <v>298</v>
      </c>
      <c r="B339">
        <v>88</v>
      </c>
      <c r="C339">
        <v>108</v>
      </c>
      <c r="D339">
        <v>29</v>
      </c>
      <c r="F339">
        <v>868</v>
      </c>
      <c r="H339">
        <v>830</v>
      </c>
      <c r="I339">
        <v>0.96</v>
      </c>
      <c r="J339">
        <v>12</v>
      </c>
      <c r="L339">
        <v>8</v>
      </c>
      <c r="M339">
        <v>29.4</v>
      </c>
      <c r="N339">
        <v>30.7</v>
      </c>
    </row>
    <row r="340" spans="1:14" x14ac:dyDescent="0.2">
      <c r="A340" t="s">
        <v>299</v>
      </c>
      <c r="B340">
        <v>89</v>
      </c>
      <c r="C340">
        <v>108</v>
      </c>
      <c r="D340">
        <v>45</v>
      </c>
      <c r="F340">
        <v>1493</v>
      </c>
      <c r="H340">
        <v>1535</v>
      </c>
      <c r="I340">
        <v>1.03</v>
      </c>
      <c r="J340">
        <v>20.7</v>
      </c>
      <c r="L340">
        <v>13.8</v>
      </c>
      <c r="M340">
        <v>28.7</v>
      </c>
      <c r="N340">
        <v>27.9</v>
      </c>
    </row>
    <row r="341" spans="1:14" x14ac:dyDescent="0.2">
      <c r="A341" t="s">
        <v>116</v>
      </c>
      <c r="B341">
        <v>90</v>
      </c>
      <c r="C341">
        <v>108</v>
      </c>
      <c r="D341">
        <v>42</v>
      </c>
      <c r="F341">
        <v>1207</v>
      </c>
      <c r="H341">
        <v>1371</v>
      </c>
      <c r="I341">
        <v>1.1399999999999999</v>
      </c>
      <c r="J341">
        <v>16.7</v>
      </c>
      <c r="L341">
        <v>11.2</v>
      </c>
      <c r="M341">
        <v>33.799999999999997</v>
      </c>
      <c r="N341">
        <v>29.8</v>
      </c>
    </row>
    <row r="342" spans="1:14" x14ac:dyDescent="0.2">
      <c r="A342" t="s">
        <v>300</v>
      </c>
      <c r="B342">
        <v>91</v>
      </c>
      <c r="C342">
        <v>109</v>
      </c>
      <c r="D342">
        <v>41</v>
      </c>
      <c r="F342">
        <v>1210</v>
      </c>
      <c r="H342">
        <v>1370</v>
      </c>
      <c r="I342">
        <v>1.1299999999999999</v>
      </c>
      <c r="J342">
        <v>16.8</v>
      </c>
      <c r="L342">
        <v>11.1</v>
      </c>
      <c r="M342">
        <v>32.1</v>
      </c>
      <c r="N342">
        <v>28.4</v>
      </c>
    </row>
    <row r="343" spans="1:14" x14ac:dyDescent="0.2">
      <c r="A343" t="s">
        <v>301</v>
      </c>
      <c r="B343">
        <v>91</v>
      </c>
      <c r="C343">
        <v>109</v>
      </c>
      <c r="D343">
        <v>40</v>
      </c>
      <c r="F343">
        <v>1199</v>
      </c>
      <c r="H343">
        <v>1359</v>
      </c>
      <c r="I343">
        <v>1.1299999999999999</v>
      </c>
      <c r="J343">
        <v>16.600000000000001</v>
      </c>
      <c r="L343">
        <v>11</v>
      </c>
      <c r="M343">
        <v>32.4</v>
      </c>
      <c r="N343">
        <v>28.6</v>
      </c>
    </row>
    <row r="344" spans="1:14" x14ac:dyDescent="0.2">
      <c r="A344" t="s">
        <v>302</v>
      </c>
      <c r="B344">
        <v>92</v>
      </c>
      <c r="C344">
        <v>109</v>
      </c>
      <c r="D344">
        <v>39</v>
      </c>
      <c r="F344">
        <v>1179</v>
      </c>
      <c r="H344">
        <v>1320</v>
      </c>
      <c r="I344">
        <v>1.1200000000000001</v>
      </c>
      <c r="J344">
        <v>16.399999999999999</v>
      </c>
      <c r="L344">
        <v>10.8</v>
      </c>
      <c r="M344">
        <v>31.1</v>
      </c>
      <c r="N344">
        <v>27.8</v>
      </c>
    </row>
    <row r="345" spans="1:14" x14ac:dyDescent="0.2">
      <c r="A345" t="s">
        <v>303</v>
      </c>
      <c r="B345">
        <v>92</v>
      </c>
      <c r="C345">
        <v>109</v>
      </c>
      <c r="D345">
        <v>37</v>
      </c>
      <c r="F345">
        <v>1099</v>
      </c>
      <c r="H345">
        <v>1228</v>
      </c>
      <c r="I345">
        <v>1.1200000000000001</v>
      </c>
      <c r="J345">
        <v>15.2</v>
      </c>
      <c r="L345">
        <v>10.1</v>
      </c>
      <c r="M345">
        <v>31.7</v>
      </c>
      <c r="N345">
        <v>28.4</v>
      </c>
    </row>
    <row r="346" spans="1:14" x14ac:dyDescent="0.2">
      <c r="A346" t="s">
        <v>304</v>
      </c>
      <c r="B346">
        <v>94</v>
      </c>
      <c r="C346">
        <v>109</v>
      </c>
      <c r="D346">
        <v>39</v>
      </c>
      <c r="F346">
        <v>1209</v>
      </c>
      <c r="H346">
        <v>1329</v>
      </c>
      <c r="I346">
        <v>1.1000000000000001</v>
      </c>
      <c r="J346">
        <v>16.8</v>
      </c>
      <c r="L346">
        <v>11.1</v>
      </c>
      <c r="M346">
        <v>31.1</v>
      </c>
      <c r="N346">
        <v>28.3</v>
      </c>
    </row>
    <row r="347" spans="1:14" x14ac:dyDescent="0.2">
      <c r="A347" t="s">
        <v>305</v>
      </c>
      <c r="B347">
        <v>94</v>
      </c>
      <c r="C347">
        <v>110</v>
      </c>
      <c r="D347">
        <v>42</v>
      </c>
      <c r="F347">
        <v>1240</v>
      </c>
      <c r="H347">
        <v>1394</v>
      </c>
      <c r="I347">
        <v>1.1200000000000001</v>
      </c>
      <c r="J347">
        <v>17.2</v>
      </c>
      <c r="L347">
        <v>11.3</v>
      </c>
      <c r="M347">
        <v>32.1</v>
      </c>
      <c r="N347">
        <v>28.5</v>
      </c>
    </row>
    <row r="348" spans="1:14" x14ac:dyDescent="0.2">
      <c r="A348" t="s">
        <v>306</v>
      </c>
      <c r="B348">
        <v>95</v>
      </c>
      <c r="C348">
        <v>111</v>
      </c>
      <c r="D348">
        <v>42</v>
      </c>
      <c r="F348">
        <v>1252</v>
      </c>
      <c r="H348">
        <v>1417</v>
      </c>
      <c r="I348">
        <v>1.1299999999999999</v>
      </c>
      <c r="J348">
        <v>17.399999999999999</v>
      </c>
      <c r="L348">
        <v>11.3</v>
      </c>
      <c r="M348">
        <v>32.700000000000003</v>
      </c>
      <c r="N348">
        <v>28.9</v>
      </c>
    </row>
    <row r="349" spans="1:14" x14ac:dyDescent="0.2">
      <c r="A349" t="s">
        <v>307</v>
      </c>
      <c r="B349">
        <v>96</v>
      </c>
      <c r="C349">
        <v>112</v>
      </c>
      <c r="D349">
        <v>37</v>
      </c>
      <c r="F349">
        <v>1132</v>
      </c>
      <c r="H349">
        <v>1237</v>
      </c>
      <c r="I349">
        <v>1.0900000000000001</v>
      </c>
      <c r="J349">
        <v>15.7</v>
      </c>
      <c r="L349">
        <v>10.1</v>
      </c>
      <c r="M349">
        <v>31.1</v>
      </c>
      <c r="N349">
        <v>28.5</v>
      </c>
    </row>
    <row r="350" spans="1:14" x14ac:dyDescent="0.2">
      <c r="A350" t="s">
        <v>308</v>
      </c>
      <c r="B350">
        <v>96</v>
      </c>
      <c r="C350">
        <v>112</v>
      </c>
      <c r="D350">
        <v>45</v>
      </c>
      <c r="F350">
        <v>1346</v>
      </c>
      <c r="H350">
        <v>1477</v>
      </c>
      <c r="I350">
        <v>1.1000000000000001</v>
      </c>
      <c r="J350">
        <v>18.7</v>
      </c>
      <c r="L350">
        <v>12</v>
      </c>
      <c r="M350">
        <v>31.8</v>
      </c>
      <c r="N350">
        <v>29</v>
      </c>
    </row>
    <row r="351" spans="1:14" x14ac:dyDescent="0.2">
      <c r="A351" t="s">
        <v>309</v>
      </c>
      <c r="B351">
        <v>97</v>
      </c>
      <c r="C351">
        <v>113</v>
      </c>
      <c r="D351">
        <v>44</v>
      </c>
      <c r="F351">
        <v>1267</v>
      </c>
      <c r="H351">
        <v>1441</v>
      </c>
      <c r="I351">
        <v>1.1399999999999999</v>
      </c>
      <c r="J351">
        <v>17.600000000000001</v>
      </c>
      <c r="L351">
        <v>11.2</v>
      </c>
      <c r="M351">
        <v>33.299999999999997</v>
      </c>
      <c r="N351">
        <v>29.3</v>
      </c>
    </row>
    <row r="352" spans="1:14" x14ac:dyDescent="0.2">
      <c r="A352" t="s">
        <v>124</v>
      </c>
      <c r="B352">
        <v>98</v>
      </c>
      <c r="C352">
        <v>113</v>
      </c>
      <c r="D352">
        <v>35</v>
      </c>
      <c r="F352">
        <v>1120</v>
      </c>
      <c r="H352">
        <v>1226</v>
      </c>
      <c r="I352">
        <v>1.0900000000000001</v>
      </c>
      <c r="J352">
        <v>15.5</v>
      </c>
      <c r="L352">
        <v>9.9</v>
      </c>
      <c r="M352">
        <v>30.1</v>
      </c>
      <c r="N352">
        <v>27.5</v>
      </c>
    </row>
    <row r="353" spans="1:14" x14ac:dyDescent="0.2">
      <c r="A353" t="s">
        <v>310</v>
      </c>
      <c r="B353">
        <v>99</v>
      </c>
      <c r="C353">
        <v>114</v>
      </c>
      <c r="D353">
        <v>39</v>
      </c>
      <c r="F353">
        <v>1281</v>
      </c>
      <c r="H353">
        <v>1370</v>
      </c>
      <c r="I353">
        <v>1.07</v>
      </c>
      <c r="J353">
        <v>17.8</v>
      </c>
      <c r="L353">
        <v>11.2</v>
      </c>
      <c r="M353">
        <v>29.2</v>
      </c>
      <c r="N353">
        <v>27.3</v>
      </c>
    </row>
    <row r="354" spans="1:14" x14ac:dyDescent="0.2">
      <c r="A354" t="s">
        <v>311</v>
      </c>
      <c r="B354">
        <v>100</v>
      </c>
      <c r="C354">
        <v>115</v>
      </c>
      <c r="D354">
        <v>44</v>
      </c>
      <c r="F354">
        <v>1298</v>
      </c>
      <c r="H354">
        <v>1463</v>
      </c>
      <c r="I354">
        <v>1.1299999999999999</v>
      </c>
      <c r="J354">
        <v>18</v>
      </c>
      <c r="L354">
        <v>11.3</v>
      </c>
      <c r="M354">
        <v>32.9</v>
      </c>
      <c r="N354">
        <v>29.2</v>
      </c>
    </row>
    <row r="355" spans="1:14" x14ac:dyDescent="0.2">
      <c r="A355" t="s">
        <v>312</v>
      </c>
      <c r="B355">
        <v>101</v>
      </c>
      <c r="C355">
        <v>116</v>
      </c>
      <c r="D355">
        <v>41</v>
      </c>
      <c r="F355">
        <v>1236</v>
      </c>
      <c r="H355">
        <v>1395</v>
      </c>
      <c r="I355">
        <v>1.1299999999999999</v>
      </c>
      <c r="J355">
        <v>17.100000000000001</v>
      </c>
      <c r="L355">
        <v>10.7</v>
      </c>
      <c r="M355">
        <v>32.1</v>
      </c>
      <c r="N355">
        <v>28.5</v>
      </c>
    </row>
    <row r="356" spans="1:14" x14ac:dyDescent="0.2">
      <c r="A356" t="s">
        <v>313</v>
      </c>
      <c r="B356">
        <v>101</v>
      </c>
      <c r="C356">
        <v>117</v>
      </c>
      <c r="D356">
        <v>41</v>
      </c>
      <c r="F356">
        <v>1274</v>
      </c>
      <c r="H356">
        <v>1422</v>
      </c>
      <c r="I356">
        <v>1.1200000000000001</v>
      </c>
      <c r="J356">
        <v>17.7</v>
      </c>
      <c r="L356">
        <v>10.9</v>
      </c>
      <c r="M356">
        <v>31.2</v>
      </c>
      <c r="N356">
        <v>28</v>
      </c>
    </row>
    <row r="357" spans="1:14" x14ac:dyDescent="0.2">
      <c r="A357" t="s">
        <v>128</v>
      </c>
      <c r="B357">
        <v>102</v>
      </c>
      <c r="C357">
        <v>118</v>
      </c>
      <c r="D357">
        <v>42</v>
      </c>
      <c r="F357">
        <v>1254</v>
      </c>
      <c r="H357">
        <v>1419</v>
      </c>
      <c r="I357">
        <v>1.1299999999999999</v>
      </c>
      <c r="J357">
        <v>17.399999999999999</v>
      </c>
      <c r="L357">
        <v>10.6</v>
      </c>
      <c r="M357">
        <v>31.9</v>
      </c>
      <c r="N357">
        <v>28.2</v>
      </c>
    </row>
    <row r="358" spans="1:14" x14ac:dyDescent="0.2">
      <c r="A358" t="s">
        <v>314</v>
      </c>
      <c r="B358">
        <v>103</v>
      </c>
      <c r="C358">
        <v>119</v>
      </c>
      <c r="D358">
        <v>43</v>
      </c>
      <c r="F358">
        <v>1309</v>
      </c>
      <c r="H358">
        <v>1451</v>
      </c>
      <c r="I358">
        <v>1.1100000000000001</v>
      </c>
      <c r="J358">
        <v>18.2</v>
      </c>
      <c r="L358">
        <v>11</v>
      </c>
      <c r="M358">
        <v>31.3</v>
      </c>
      <c r="N358">
        <v>28.2</v>
      </c>
    </row>
    <row r="359" spans="1:14" x14ac:dyDescent="0.2">
      <c r="A359" t="s">
        <v>315</v>
      </c>
      <c r="B359">
        <v>104</v>
      </c>
      <c r="C359">
        <v>113</v>
      </c>
      <c r="D359">
        <v>45</v>
      </c>
      <c r="F359">
        <v>1377</v>
      </c>
      <c r="H359">
        <v>1526</v>
      </c>
      <c r="I359">
        <v>1.1100000000000001</v>
      </c>
      <c r="J359">
        <v>19.100000000000001</v>
      </c>
      <c r="L359">
        <v>12.2</v>
      </c>
      <c r="M359">
        <v>30.9</v>
      </c>
      <c r="N359">
        <v>27.9</v>
      </c>
    </row>
    <row r="360" spans="1:14" x14ac:dyDescent="0.2">
      <c r="A360" t="s">
        <v>130</v>
      </c>
      <c r="B360">
        <v>104</v>
      </c>
      <c r="C360">
        <v>120</v>
      </c>
      <c r="D360">
        <v>45</v>
      </c>
      <c r="F360">
        <v>1297</v>
      </c>
      <c r="H360">
        <v>1510</v>
      </c>
      <c r="I360">
        <v>1.1599999999999999</v>
      </c>
      <c r="J360">
        <v>18</v>
      </c>
      <c r="L360">
        <v>10.8</v>
      </c>
      <c r="M360">
        <v>33.299999999999997</v>
      </c>
      <c r="N360">
        <v>28.6</v>
      </c>
    </row>
    <row r="361" spans="1:14" x14ac:dyDescent="0.2">
      <c r="A361" t="s">
        <v>316</v>
      </c>
      <c r="B361">
        <v>105</v>
      </c>
      <c r="C361">
        <v>121</v>
      </c>
      <c r="D361">
        <v>47</v>
      </c>
      <c r="F361">
        <v>1405</v>
      </c>
      <c r="H361">
        <v>1597</v>
      </c>
      <c r="I361">
        <v>1.1399999999999999</v>
      </c>
      <c r="J361">
        <v>19.5</v>
      </c>
      <c r="L361">
        <v>11.6</v>
      </c>
      <c r="M361">
        <v>31.7</v>
      </c>
      <c r="N361">
        <v>27.9</v>
      </c>
    </row>
    <row r="362" spans="1:14" x14ac:dyDescent="0.2">
      <c r="A362" t="s">
        <v>317</v>
      </c>
      <c r="B362">
        <v>106</v>
      </c>
      <c r="C362">
        <v>121</v>
      </c>
      <c r="D362">
        <v>44</v>
      </c>
      <c r="F362">
        <v>1296</v>
      </c>
      <c r="H362">
        <v>1524</v>
      </c>
      <c r="I362">
        <v>1.18</v>
      </c>
      <c r="J362">
        <v>18</v>
      </c>
      <c r="L362">
        <v>10.7</v>
      </c>
      <c r="M362">
        <v>32.5</v>
      </c>
      <c r="N362">
        <v>27.7</v>
      </c>
    </row>
    <row r="363" spans="1:14" x14ac:dyDescent="0.2">
      <c r="A363" t="s">
        <v>318</v>
      </c>
      <c r="B363">
        <v>106</v>
      </c>
      <c r="C363">
        <v>121</v>
      </c>
      <c r="D363">
        <v>51</v>
      </c>
      <c r="F363">
        <v>1374</v>
      </c>
      <c r="H363">
        <v>1647</v>
      </c>
      <c r="I363">
        <v>1.2</v>
      </c>
      <c r="J363">
        <v>19.100000000000001</v>
      </c>
      <c r="L363">
        <v>11.4</v>
      </c>
      <c r="M363">
        <v>35.799999999999997</v>
      </c>
      <c r="N363">
        <v>29.9</v>
      </c>
    </row>
    <row r="364" spans="1:14" x14ac:dyDescent="0.2">
      <c r="A364" t="s">
        <v>319</v>
      </c>
      <c r="B364">
        <v>107</v>
      </c>
      <c r="C364">
        <v>121</v>
      </c>
      <c r="D364">
        <v>51</v>
      </c>
      <c r="F364">
        <v>1368</v>
      </c>
      <c r="H364">
        <v>1618</v>
      </c>
      <c r="I364">
        <v>1.18</v>
      </c>
      <c r="J364">
        <v>19</v>
      </c>
      <c r="L364">
        <v>11.3</v>
      </c>
      <c r="M364">
        <v>35.4</v>
      </c>
      <c r="N364">
        <v>29.9</v>
      </c>
    </row>
    <row r="365" spans="1:14" x14ac:dyDescent="0.2">
      <c r="A365" t="s">
        <v>320</v>
      </c>
      <c r="B365">
        <v>107</v>
      </c>
      <c r="C365">
        <v>121</v>
      </c>
      <c r="D365">
        <v>50</v>
      </c>
      <c r="F365">
        <v>1385</v>
      </c>
      <c r="H365">
        <v>1610</v>
      </c>
      <c r="I365">
        <v>1.1599999999999999</v>
      </c>
      <c r="J365">
        <v>19.2</v>
      </c>
      <c r="L365">
        <v>11.4</v>
      </c>
      <c r="M365">
        <v>34.1</v>
      </c>
      <c r="N365">
        <v>29.3</v>
      </c>
    </row>
    <row r="366" spans="1:14" x14ac:dyDescent="0.2">
      <c r="A366" t="s">
        <v>321</v>
      </c>
      <c r="B366">
        <v>109</v>
      </c>
      <c r="C366">
        <v>122</v>
      </c>
      <c r="D366">
        <v>49</v>
      </c>
      <c r="F366">
        <v>1340</v>
      </c>
      <c r="H366">
        <v>1594</v>
      </c>
      <c r="I366">
        <v>1.19</v>
      </c>
      <c r="J366">
        <v>18.600000000000001</v>
      </c>
      <c r="L366">
        <v>11</v>
      </c>
      <c r="M366">
        <v>34.9</v>
      </c>
      <c r="N366">
        <v>29.3</v>
      </c>
    </row>
    <row r="367" spans="1:14" x14ac:dyDescent="0.2">
      <c r="A367" t="s">
        <v>322</v>
      </c>
      <c r="B367">
        <v>109</v>
      </c>
      <c r="C367">
        <v>123</v>
      </c>
      <c r="D367">
        <v>45</v>
      </c>
      <c r="F367">
        <v>1289</v>
      </c>
      <c r="H367">
        <v>1537</v>
      </c>
      <c r="I367">
        <v>1.19</v>
      </c>
      <c r="J367">
        <v>17.899999999999999</v>
      </c>
      <c r="L367">
        <v>10.5</v>
      </c>
      <c r="M367">
        <v>34</v>
      </c>
      <c r="N367">
        <v>28.5</v>
      </c>
    </row>
    <row r="368" spans="1:14" x14ac:dyDescent="0.2">
      <c r="A368" t="s">
        <v>323</v>
      </c>
      <c r="B368">
        <v>110</v>
      </c>
      <c r="C368">
        <v>123</v>
      </c>
      <c r="D368">
        <v>50</v>
      </c>
      <c r="F368">
        <v>1362</v>
      </c>
      <c r="H368">
        <v>1632</v>
      </c>
      <c r="I368">
        <v>1.2</v>
      </c>
      <c r="J368">
        <v>18.899999999999999</v>
      </c>
      <c r="L368">
        <v>11.1</v>
      </c>
      <c r="M368">
        <v>35.1</v>
      </c>
      <c r="N368">
        <v>29.3</v>
      </c>
    </row>
    <row r="369" spans="1:14" x14ac:dyDescent="0.2">
      <c r="A369" t="s">
        <v>136</v>
      </c>
      <c r="B369">
        <v>111</v>
      </c>
      <c r="C369">
        <v>124</v>
      </c>
      <c r="D369">
        <v>47</v>
      </c>
      <c r="F369">
        <v>1351</v>
      </c>
      <c r="H369">
        <v>1622</v>
      </c>
      <c r="I369">
        <v>1.2</v>
      </c>
      <c r="J369">
        <v>18.7</v>
      </c>
      <c r="L369">
        <v>10.9</v>
      </c>
      <c r="M369">
        <v>33.700000000000003</v>
      </c>
      <c r="N369">
        <v>28</v>
      </c>
    </row>
    <row r="370" spans="1:14" x14ac:dyDescent="0.2">
      <c r="A370" t="s">
        <v>324</v>
      </c>
      <c r="B370">
        <v>111</v>
      </c>
      <c r="C370">
        <v>125</v>
      </c>
      <c r="D370">
        <v>49</v>
      </c>
      <c r="F370">
        <v>1375</v>
      </c>
      <c r="H370">
        <v>1611</v>
      </c>
      <c r="I370">
        <v>1.17</v>
      </c>
      <c r="J370">
        <v>19.100000000000001</v>
      </c>
      <c r="L370">
        <v>11</v>
      </c>
      <c r="M370">
        <v>33.700000000000003</v>
      </c>
      <c r="N370">
        <v>28.8</v>
      </c>
    </row>
    <row r="371" spans="1:14" x14ac:dyDescent="0.2">
      <c r="A371" t="s">
        <v>325</v>
      </c>
      <c r="B371">
        <v>112</v>
      </c>
      <c r="C371">
        <v>127</v>
      </c>
      <c r="D371">
        <v>49</v>
      </c>
      <c r="F371">
        <v>1362</v>
      </c>
      <c r="H371">
        <v>1666</v>
      </c>
      <c r="I371">
        <v>1.22</v>
      </c>
      <c r="J371">
        <v>18.899999999999999</v>
      </c>
      <c r="L371">
        <v>10.7</v>
      </c>
      <c r="M371">
        <v>34.5</v>
      </c>
      <c r="N371">
        <v>28.2</v>
      </c>
    </row>
    <row r="372" spans="1:14" x14ac:dyDescent="0.2">
      <c r="A372" t="s">
        <v>326</v>
      </c>
      <c r="B372">
        <v>112</v>
      </c>
      <c r="C372">
        <v>127</v>
      </c>
      <c r="D372">
        <v>50</v>
      </c>
      <c r="F372">
        <v>1396</v>
      </c>
      <c r="H372">
        <v>1649</v>
      </c>
      <c r="I372">
        <v>1.18</v>
      </c>
      <c r="J372">
        <v>19.399999999999999</v>
      </c>
      <c r="L372">
        <v>11</v>
      </c>
      <c r="M372">
        <v>34.5</v>
      </c>
      <c r="N372">
        <v>29.2</v>
      </c>
    </row>
    <row r="373" spans="1:14" x14ac:dyDescent="0.2">
      <c r="A373" t="s">
        <v>327</v>
      </c>
      <c r="B373">
        <v>113</v>
      </c>
      <c r="C373">
        <v>128</v>
      </c>
      <c r="D373">
        <v>51</v>
      </c>
      <c r="F373">
        <v>1400</v>
      </c>
      <c r="H373">
        <v>1661</v>
      </c>
      <c r="I373">
        <v>1.19</v>
      </c>
      <c r="J373">
        <v>19.399999999999999</v>
      </c>
      <c r="L373">
        <v>10.9</v>
      </c>
      <c r="M373">
        <v>34.700000000000003</v>
      </c>
      <c r="N373">
        <v>29.2</v>
      </c>
    </row>
    <row r="374" spans="1:14" x14ac:dyDescent="0.2">
      <c r="A374" t="s">
        <v>139</v>
      </c>
      <c r="B374">
        <v>114</v>
      </c>
      <c r="C374">
        <v>129</v>
      </c>
      <c r="D374">
        <v>54</v>
      </c>
      <c r="F374">
        <v>1450</v>
      </c>
      <c r="H374">
        <v>1742</v>
      </c>
      <c r="I374">
        <v>1.2</v>
      </c>
      <c r="J374">
        <v>20.100000000000001</v>
      </c>
      <c r="L374">
        <v>11.2</v>
      </c>
      <c r="M374">
        <v>35.799999999999997</v>
      </c>
      <c r="N374">
        <v>29.8</v>
      </c>
    </row>
    <row r="375" spans="1:14" x14ac:dyDescent="0.2">
      <c r="A375" t="s">
        <v>328</v>
      </c>
      <c r="B375">
        <v>114</v>
      </c>
      <c r="C375">
        <v>129</v>
      </c>
      <c r="D375">
        <v>55</v>
      </c>
      <c r="F375">
        <v>1490</v>
      </c>
      <c r="H375">
        <v>1776</v>
      </c>
      <c r="I375">
        <v>1.19</v>
      </c>
      <c r="J375">
        <v>20.7</v>
      </c>
      <c r="L375">
        <v>11.5</v>
      </c>
      <c r="M375">
        <v>35</v>
      </c>
      <c r="N375">
        <v>29.3</v>
      </c>
    </row>
    <row r="376" spans="1:14" x14ac:dyDescent="0.2">
      <c r="A376" t="s">
        <v>140</v>
      </c>
      <c r="B376">
        <v>115</v>
      </c>
      <c r="C376">
        <v>129</v>
      </c>
      <c r="D376">
        <v>49</v>
      </c>
      <c r="F376">
        <v>1327</v>
      </c>
      <c r="H376">
        <v>1587</v>
      </c>
      <c r="I376">
        <v>1.2</v>
      </c>
      <c r="J376">
        <v>18.399999999999999</v>
      </c>
      <c r="L376">
        <v>10.3</v>
      </c>
      <c r="M376">
        <v>35.299999999999997</v>
      </c>
      <c r="N376">
        <v>29.5</v>
      </c>
    </row>
    <row r="377" spans="1:14" x14ac:dyDescent="0.2">
      <c r="A377" t="s">
        <v>329</v>
      </c>
      <c r="B377">
        <v>116</v>
      </c>
      <c r="C377">
        <v>130</v>
      </c>
      <c r="D377">
        <v>52</v>
      </c>
      <c r="F377">
        <v>1383</v>
      </c>
      <c r="H377">
        <v>1706</v>
      </c>
      <c r="I377">
        <v>1.23</v>
      </c>
      <c r="J377">
        <v>19.2</v>
      </c>
      <c r="L377">
        <v>10.6</v>
      </c>
      <c r="M377">
        <v>36.299999999999997</v>
      </c>
      <c r="N377">
        <v>29.4</v>
      </c>
    </row>
    <row r="378" spans="1:14" x14ac:dyDescent="0.2">
      <c r="A378" t="s">
        <v>330</v>
      </c>
      <c r="B378">
        <v>116</v>
      </c>
      <c r="C378">
        <v>130</v>
      </c>
      <c r="D378">
        <v>50</v>
      </c>
      <c r="F378">
        <v>1363</v>
      </c>
      <c r="H378">
        <v>1626</v>
      </c>
      <c r="I378">
        <v>1.19</v>
      </c>
      <c r="J378">
        <v>18.899999999999999</v>
      </c>
      <c r="L378">
        <v>10.5</v>
      </c>
      <c r="M378">
        <v>35.200000000000003</v>
      </c>
      <c r="N378">
        <v>29.5</v>
      </c>
    </row>
    <row r="379" spans="1:14" x14ac:dyDescent="0.2">
      <c r="A379" t="s">
        <v>331</v>
      </c>
      <c r="B379">
        <v>117</v>
      </c>
      <c r="C379">
        <v>130</v>
      </c>
      <c r="D379">
        <v>51</v>
      </c>
      <c r="F379">
        <v>1456</v>
      </c>
      <c r="H379">
        <v>1710</v>
      </c>
      <c r="I379">
        <v>1.17</v>
      </c>
      <c r="J379">
        <v>20.2</v>
      </c>
      <c r="L379">
        <v>11.2</v>
      </c>
      <c r="M379">
        <v>33.6</v>
      </c>
      <c r="N379">
        <v>28.6</v>
      </c>
    </row>
    <row r="380" spans="1:14" x14ac:dyDescent="0.2">
      <c r="A380" t="s">
        <v>332</v>
      </c>
      <c r="B380">
        <v>117</v>
      </c>
      <c r="C380">
        <v>130</v>
      </c>
      <c r="D380">
        <v>55</v>
      </c>
      <c r="F380">
        <v>1463</v>
      </c>
      <c r="H380">
        <v>1778</v>
      </c>
      <c r="I380">
        <v>1.22</v>
      </c>
      <c r="J380">
        <v>20.3</v>
      </c>
      <c r="L380">
        <v>11.3</v>
      </c>
      <c r="M380">
        <v>36.299999999999997</v>
      </c>
      <c r="N380">
        <v>29.9</v>
      </c>
    </row>
    <row r="381" spans="1:14" x14ac:dyDescent="0.2">
      <c r="A381" t="s">
        <v>333</v>
      </c>
      <c r="B381">
        <v>118</v>
      </c>
      <c r="C381">
        <v>131</v>
      </c>
      <c r="D381">
        <v>47</v>
      </c>
      <c r="F381">
        <v>1307</v>
      </c>
      <c r="H381">
        <v>1590</v>
      </c>
      <c r="I381">
        <v>1.22</v>
      </c>
      <c r="J381">
        <v>18.100000000000001</v>
      </c>
      <c r="L381">
        <v>10</v>
      </c>
      <c r="M381">
        <v>34.6</v>
      </c>
      <c r="N381">
        <v>28.5</v>
      </c>
    </row>
    <row r="382" spans="1:14" x14ac:dyDescent="0.2">
      <c r="A382" t="s">
        <v>334</v>
      </c>
      <c r="B382">
        <v>119</v>
      </c>
      <c r="C382">
        <v>132</v>
      </c>
      <c r="D382">
        <v>56</v>
      </c>
      <c r="F382">
        <v>1493</v>
      </c>
      <c r="H382">
        <v>1841</v>
      </c>
      <c r="I382">
        <v>1.23</v>
      </c>
      <c r="J382">
        <v>20.7</v>
      </c>
      <c r="L382">
        <v>11.3</v>
      </c>
      <c r="M382">
        <v>35.9</v>
      </c>
      <c r="N382">
        <v>29.1</v>
      </c>
    </row>
    <row r="383" spans="1:14" x14ac:dyDescent="0.2">
      <c r="A383" t="s">
        <v>335</v>
      </c>
      <c r="B383">
        <v>119</v>
      </c>
      <c r="C383">
        <v>132</v>
      </c>
      <c r="D383">
        <v>49</v>
      </c>
      <c r="F383">
        <v>1344</v>
      </c>
      <c r="H383">
        <v>1653</v>
      </c>
      <c r="I383">
        <v>1.23</v>
      </c>
      <c r="J383">
        <v>18.600000000000001</v>
      </c>
      <c r="L383">
        <v>10.199999999999999</v>
      </c>
      <c r="M383">
        <v>35.200000000000003</v>
      </c>
      <c r="N383">
        <v>28.6</v>
      </c>
    </row>
    <row r="384" spans="1:14" x14ac:dyDescent="0.2">
      <c r="A384" t="s">
        <v>145</v>
      </c>
      <c r="B384">
        <v>120</v>
      </c>
      <c r="C384">
        <v>133</v>
      </c>
      <c r="D384">
        <v>61</v>
      </c>
      <c r="F384">
        <v>1578</v>
      </c>
      <c r="H384">
        <v>1920</v>
      </c>
      <c r="I384">
        <v>1.22</v>
      </c>
      <c r="J384">
        <v>21.9</v>
      </c>
      <c r="L384">
        <v>11.9</v>
      </c>
      <c r="M384">
        <v>37.299999999999997</v>
      </c>
      <c r="N384">
        <v>30.6</v>
      </c>
    </row>
    <row r="385" spans="1:14" x14ac:dyDescent="0.2">
      <c r="A385" t="s">
        <v>336</v>
      </c>
      <c r="B385">
        <v>121</v>
      </c>
      <c r="C385">
        <v>133</v>
      </c>
      <c r="D385">
        <v>60</v>
      </c>
      <c r="F385">
        <v>1483</v>
      </c>
      <c r="H385">
        <v>1861</v>
      </c>
      <c r="I385">
        <v>1.25</v>
      </c>
      <c r="J385">
        <v>20.6</v>
      </c>
      <c r="L385">
        <v>11.2</v>
      </c>
      <c r="M385">
        <v>39.200000000000003</v>
      </c>
      <c r="N385">
        <v>31.3</v>
      </c>
    </row>
    <row r="386" spans="1:14" x14ac:dyDescent="0.2">
      <c r="A386" t="s">
        <v>146</v>
      </c>
      <c r="B386">
        <v>121</v>
      </c>
      <c r="C386">
        <v>133</v>
      </c>
      <c r="D386">
        <v>60</v>
      </c>
      <c r="F386">
        <v>1506</v>
      </c>
      <c r="H386">
        <v>1839</v>
      </c>
      <c r="I386">
        <v>1.22</v>
      </c>
      <c r="J386">
        <v>20.9</v>
      </c>
      <c r="L386">
        <v>11.3</v>
      </c>
      <c r="M386">
        <v>37.799999999999997</v>
      </c>
      <c r="N386">
        <v>31</v>
      </c>
    </row>
    <row r="387" spans="1:14" x14ac:dyDescent="0.2">
      <c r="A387" t="s">
        <v>337</v>
      </c>
      <c r="B387">
        <v>122</v>
      </c>
      <c r="C387">
        <v>133</v>
      </c>
      <c r="D387">
        <v>56</v>
      </c>
      <c r="F387">
        <v>1365</v>
      </c>
      <c r="H387">
        <v>1706</v>
      </c>
      <c r="I387">
        <v>1.25</v>
      </c>
      <c r="J387">
        <v>18.899999999999999</v>
      </c>
      <c r="L387">
        <v>10.3</v>
      </c>
      <c r="M387">
        <v>39.200000000000003</v>
      </c>
      <c r="N387">
        <v>31.3</v>
      </c>
    </row>
    <row r="388" spans="1:14" x14ac:dyDescent="0.2">
      <c r="A388" t="s">
        <v>147</v>
      </c>
      <c r="B388">
        <v>122</v>
      </c>
      <c r="C388">
        <v>134</v>
      </c>
      <c r="D388">
        <v>56</v>
      </c>
      <c r="F388">
        <v>1446</v>
      </c>
      <c r="H388">
        <v>1767</v>
      </c>
      <c r="I388">
        <v>1.22</v>
      </c>
      <c r="J388">
        <v>20.100000000000001</v>
      </c>
      <c r="L388">
        <v>10.8</v>
      </c>
      <c r="M388">
        <v>36.9</v>
      </c>
      <c r="N388">
        <v>30.2</v>
      </c>
    </row>
    <row r="389" spans="1:14" x14ac:dyDescent="0.2">
      <c r="A389" t="s">
        <v>338</v>
      </c>
      <c r="B389">
        <v>122</v>
      </c>
      <c r="C389">
        <v>135</v>
      </c>
      <c r="D389">
        <v>58</v>
      </c>
      <c r="F389">
        <v>1489</v>
      </c>
      <c r="H389">
        <v>1816</v>
      </c>
      <c r="I389">
        <v>1.22</v>
      </c>
      <c r="J389">
        <v>20.6</v>
      </c>
      <c r="L389">
        <v>11</v>
      </c>
      <c r="M389">
        <v>37.299999999999997</v>
      </c>
      <c r="N389">
        <v>30.5</v>
      </c>
    </row>
    <row r="390" spans="1:14" x14ac:dyDescent="0.2">
      <c r="A390" t="s">
        <v>339</v>
      </c>
      <c r="B390">
        <v>123</v>
      </c>
      <c r="C390">
        <v>138</v>
      </c>
      <c r="D390">
        <v>58</v>
      </c>
      <c r="F390">
        <v>1460</v>
      </c>
      <c r="H390">
        <v>1829</v>
      </c>
      <c r="I390">
        <v>1.25</v>
      </c>
      <c r="J390">
        <v>20.2</v>
      </c>
      <c r="L390">
        <v>10.6</v>
      </c>
      <c r="M390">
        <v>38</v>
      </c>
      <c r="N390">
        <v>30.3</v>
      </c>
    </row>
    <row r="391" spans="1:14" x14ac:dyDescent="0.2">
      <c r="A391" t="s">
        <v>340</v>
      </c>
      <c r="B391">
        <v>124</v>
      </c>
      <c r="C391">
        <v>129</v>
      </c>
      <c r="D391">
        <v>59</v>
      </c>
      <c r="F391">
        <v>1429</v>
      </c>
      <c r="H391">
        <v>1804</v>
      </c>
      <c r="I391">
        <v>1.26</v>
      </c>
      <c r="J391">
        <v>19.8</v>
      </c>
      <c r="L391">
        <v>11.1</v>
      </c>
      <c r="M391">
        <v>39.5</v>
      </c>
      <c r="N391">
        <v>31.3</v>
      </c>
    </row>
    <row r="392" spans="1:14" x14ac:dyDescent="0.2">
      <c r="A392" t="s">
        <v>341</v>
      </c>
      <c r="B392">
        <v>124</v>
      </c>
      <c r="C392">
        <v>131</v>
      </c>
      <c r="D392">
        <v>59</v>
      </c>
      <c r="F392">
        <v>1455</v>
      </c>
      <c r="H392">
        <v>1818</v>
      </c>
      <c r="I392">
        <v>1.25</v>
      </c>
      <c r="J392">
        <v>20.2</v>
      </c>
      <c r="L392">
        <v>11.1</v>
      </c>
      <c r="M392">
        <v>38.6</v>
      </c>
      <c r="N392">
        <v>30.9</v>
      </c>
    </row>
    <row r="393" spans="1:14" x14ac:dyDescent="0.2">
      <c r="A393" t="s">
        <v>342</v>
      </c>
      <c r="B393">
        <v>125</v>
      </c>
      <c r="C393">
        <v>132</v>
      </c>
      <c r="D393">
        <v>58</v>
      </c>
      <c r="F393">
        <v>1361</v>
      </c>
      <c r="H393">
        <v>1675</v>
      </c>
      <c r="I393">
        <v>1.23</v>
      </c>
      <c r="J393">
        <v>18.899999999999999</v>
      </c>
      <c r="L393">
        <v>10.3</v>
      </c>
      <c r="M393">
        <v>40.200000000000003</v>
      </c>
      <c r="N393">
        <v>32.700000000000003</v>
      </c>
    </row>
    <row r="394" spans="1:14" x14ac:dyDescent="0.2">
      <c r="A394" t="s">
        <v>150</v>
      </c>
      <c r="B394">
        <v>125</v>
      </c>
      <c r="C394">
        <v>140</v>
      </c>
      <c r="D394">
        <v>57</v>
      </c>
      <c r="F394">
        <v>1544</v>
      </c>
      <c r="H394">
        <v>1857</v>
      </c>
      <c r="I394">
        <v>1.2</v>
      </c>
      <c r="J394">
        <v>21.4</v>
      </c>
      <c r="L394">
        <v>11</v>
      </c>
      <c r="M394">
        <v>35.4</v>
      </c>
      <c r="N394">
        <v>29.4</v>
      </c>
    </row>
    <row r="395" spans="1:14" x14ac:dyDescent="0.2">
      <c r="A395" t="s">
        <v>343</v>
      </c>
      <c r="B395">
        <v>126</v>
      </c>
      <c r="C395">
        <v>140</v>
      </c>
      <c r="D395">
        <v>49</v>
      </c>
      <c r="F395">
        <v>1325</v>
      </c>
      <c r="H395">
        <v>1650</v>
      </c>
      <c r="I395">
        <v>1.24</v>
      </c>
      <c r="J395">
        <v>18.399999999999999</v>
      </c>
      <c r="L395">
        <v>9.5</v>
      </c>
      <c r="M395">
        <v>35.700000000000003</v>
      </c>
      <c r="N395">
        <v>28.7</v>
      </c>
    </row>
    <row r="396" spans="1:14" x14ac:dyDescent="0.2">
      <c r="A396" t="s">
        <v>344</v>
      </c>
      <c r="B396">
        <v>126</v>
      </c>
      <c r="C396">
        <v>141</v>
      </c>
      <c r="D396">
        <v>54</v>
      </c>
      <c r="F396">
        <v>1493</v>
      </c>
      <c r="H396">
        <v>1769</v>
      </c>
      <c r="I396">
        <v>1.19</v>
      </c>
      <c r="J396">
        <v>20.7</v>
      </c>
      <c r="L396">
        <v>10.6</v>
      </c>
      <c r="M396">
        <v>34.5</v>
      </c>
      <c r="N396">
        <v>29.1</v>
      </c>
    </row>
    <row r="397" spans="1:14" x14ac:dyDescent="0.2">
      <c r="A397" t="s">
        <v>345</v>
      </c>
      <c r="B397">
        <v>127</v>
      </c>
      <c r="C397">
        <v>141</v>
      </c>
      <c r="D397">
        <v>63</v>
      </c>
      <c r="F397">
        <v>1690</v>
      </c>
      <c r="H397">
        <v>2015</v>
      </c>
      <c r="I397">
        <v>1.19</v>
      </c>
      <c r="J397">
        <v>23.4</v>
      </c>
      <c r="L397">
        <v>12</v>
      </c>
      <c r="M397">
        <v>35.5</v>
      </c>
      <c r="N397">
        <v>29.8</v>
      </c>
    </row>
    <row r="398" spans="1:14" x14ac:dyDescent="0.2">
      <c r="A398" t="s">
        <v>346</v>
      </c>
      <c r="B398">
        <v>127</v>
      </c>
      <c r="C398">
        <v>141</v>
      </c>
      <c r="D398">
        <v>70</v>
      </c>
      <c r="F398">
        <v>1711</v>
      </c>
      <c r="H398">
        <v>2037</v>
      </c>
      <c r="I398">
        <v>1.19</v>
      </c>
      <c r="J398">
        <v>23.7</v>
      </c>
      <c r="L398">
        <v>12.1</v>
      </c>
      <c r="M398">
        <v>39.1</v>
      </c>
      <c r="N398">
        <v>32.799999999999997</v>
      </c>
    </row>
    <row r="399" spans="1:14" x14ac:dyDescent="0.2">
      <c r="A399" t="s">
        <v>347</v>
      </c>
      <c r="B399">
        <v>128</v>
      </c>
      <c r="C399">
        <v>141</v>
      </c>
      <c r="D399">
        <v>71</v>
      </c>
      <c r="F399">
        <v>1737</v>
      </c>
      <c r="H399">
        <v>2102</v>
      </c>
      <c r="I399">
        <v>1.21</v>
      </c>
      <c r="J399">
        <v>24.1</v>
      </c>
      <c r="L399">
        <v>12.3</v>
      </c>
      <c r="M399">
        <v>38.9</v>
      </c>
      <c r="N399">
        <v>32.200000000000003</v>
      </c>
    </row>
    <row r="400" spans="1:14" x14ac:dyDescent="0.2">
      <c r="A400" t="s">
        <v>153</v>
      </c>
      <c r="B400">
        <v>128</v>
      </c>
      <c r="C400">
        <v>142</v>
      </c>
      <c r="D400">
        <v>60</v>
      </c>
      <c r="F400">
        <v>1444</v>
      </c>
      <c r="H400">
        <v>1801</v>
      </c>
      <c r="I400">
        <v>1.25</v>
      </c>
      <c r="J400">
        <v>20</v>
      </c>
      <c r="L400">
        <v>10.199999999999999</v>
      </c>
      <c r="M400">
        <v>39.6</v>
      </c>
      <c r="N400">
        <v>31.8</v>
      </c>
    </row>
    <row r="401" spans="1:14" x14ac:dyDescent="0.2">
      <c r="A401" t="s">
        <v>348</v>
      </c>
      <c r="B401">
        <v>129</v>
      </c>
      <c r="C401">
        <v>142</v>
      </c>
      <c r="D401">
        <v>72</v>
      </c>
      <c r="F401">
        <v>1692</v>
      </c>
      <c r="H401">
        <v>2074</v>
      </c>
      <c r="I401">
        <v>1.23</v>
      </c>
      <c r="J401">
        <v>23.5</v>
      </c>
      <c r="L401">
        <v>11.9</v>
      </c>
      <c r="M401">
        <v>40.4</v>
      </c>
      <c r="N401">
        <v>32.9</v>
      </c>
    </row>
    <row r="402" spans="1:14" x14ac:dyDescent="0.2">
      <c r="A402" t="s">
        <v>154</v>
      </c>
      <c r="B402">
        <v>129</v>
      </c>
      <c r="C402">
        <v>145</v>
      </c>
      <c r="D402">
        <v>61</v>
      </c>
      <c r="F402">
        <v>1474</v>
      </c>
      <c r="H402">
        <v>1866</v>
      </c>
      <c r="I402">
        <v>1.27</v>
      </c>
      <c r="J402">
        <v>20.399999999999999</v>
      </c>
      <c r="L402">
        <v>10.199999999999999</v>
      </c>
      <c r="M402">
        <v>39.5</v>
      </c>
      <c r="N402">
        <v>31.2</v>
      </c>
    </row>
    <row r="403" spans="1:14" x14ac:dyDescent="0.2">
      <c r="A403" t="s">
        <v>349</v>
      </c>
      <c r="B403">
        <v>129</v>
      </c>
      <c r="C403">
        <v>144</v>
      </c>
      <c r="D403">
        <v>70</v>
      </c>
      <c r="F403">
        <v>1583</v>
      </c>
      <c r="H403">
        <v>2025</v>
      </c>
      <c r="I403">
        <v>1.28</v>
      </c>
      <c r="J403">
        <v>22</v>
      </c>
      <c r="L403">
        <v>11</v>
      </c>
      <c r="M403">
        <v>42</v>
      </c>
      <c r="N403">
        <v>32.799999999999997</v>
      </c>
    </row>
    <row r="404" spans="1:14" x14ac:dyDescent="0.2">
      <c r="A404" t="s">
        <v>350</v>
      </c>
      <c r="B404">
        <v>130</v>
      </c>
      <c r="C404">
        <v>145</v>
      </c>
      <c r="D404">
        <v>69</v>
      </c>
      <c r="F404">
        <v>1600</v>
      </c>
      <c r="H404">
        <v>2059</v>
      </c>
      <c r="I404">
        <v>1.29</v>
      </c>
      <c r="J404">
        <v>22.2</v>
      </c>
      <c r="L404">
        <v>11</v>
      </c>
      <c r="M404">
        <v>41.2</v>
      </c>
      <c r="N404">
        <v>32</v>
      </c>
    </row>
    <row r="405" spans="1:14" x14ac:dyDescent="0.2">
      <c r="A405" t="s">
        <v>351</v>
      </c>
      <c r="B405">
        <v>131</v>
      </c>
      <c r="C405">
        <v>145</v>
      </c>
      <c r="D405">
        <v>62</v>
      </c>
      <c r="F405">
        <v>1395</v>
      </c>
      <c r="H405">
        <v>1811</v>
      </c>
      <c r="I405">
        <v>1.3</v>
      </c>
      <c r="J405">
        <v>19.399999999999999</v>
      </c>
      <c r="L405">
        <v>9.6</v>
      </c>
      <c r="M405">
        <v>42.2</v>
      </c>
      <c r="N405">
        <v>32.5</v>
      </c>
    </row>
    <row r="406" spans="1:14" x14ac:dyDescent="0.2">
      <c r="A406" t="s">
        <v>352</v>
      </c>
      <c r="B406">
        <v>131</v>
      </c>
      <c r="C406">
        <v>145</v>
      </c>
      <c r="D406">
        <v>75</v>
      </c>
      <c r="F406">
        <v>1711</v>
      </c>
      <c r="H406">
        <v>2109</v>
      </c>
      <c r="I406">
        <v>1.23</v>
      </c>
      <c r="J406">
        <v>23.7</v>
      </c>
      <c r="L406">
        <v>11.8</v>
      </c>
      <c r="M406">
        <v>41.3</v>
      </c>
      <c r="N406">
        <v>33.5</v>
      </c>
    </row>
    <row r="407" spans="1:14" x14ac:dyDescent="0.2">
      <c r="A407" t="s">
        <v>353</v>
      </c>
      <c r="B407">
        <v>131</v>
      </c>
      <c r="C407">
        <v>145</v>
      </c>
      <c r="D407">
        <v>71</v>
      </c>
      <c r="F407">
        <v>1596</v>
      </c>
      <c r="H407">
        <v>2016</v>
      </c>
      <c r="I407">
        <v>1.26</v>
      </c>
      <c r="J407">
        <v>22.1</v>
      </c>
      <c r="L407">
        <v>11</v>
      </c>
      <c r="M407">
        <v>42.3</v>
      </c>
      <c r="N407">
        <v>33.5</v>
      </c>
    </row>
    <row r="408" spans="1:14" x14ac:dyDescent="0.2">
      <c r="A408" t="s">
        <v>354</v>
      </c>
      <c r="B408">
        <v>132</v>
      </c>
      <c r="C408">
        <v>145</v>
      </c>
      <c r="D408">
        <v>79</v>
      </c>
      <c r="F408">
        <v>1672</v>
      </c>
      <c r="H408">
        <v>2139</v>
      </c>
      <c r="I408">
        <v>1.28</v>
      </c>
      <c r="J408">
        <v>23.2</v>
      </c>
      <c r="L408">
        <v>11.5</v>
      </c>
      <c r="M408">
        <v>44.7</v>
      </c>
      <c r="N408">
        <v>35</v>
      </c>
    </row>
    <row r="409" spans="1:14" x14ac:dyDescent="0.2">
      <c r="A409" t="s">
        <v>355</v>
      </c>
      <c r="B409">
        <v>132</v>
      </c>
      <c r="C409">
        <v>146</v>
      </c>
      <c r="D409">
        <v>77</v>
      </c>
      <c r="F409">
        <v>1632</v>
      </c>
      <c r="H409">
        <v>2114</v>
      </c>
      <c r="I409">
        <v>1.29</v>
      </c>
      <c r="J409">
        <v>22.6</v>
      </c>
      <c r="L409">
        <v>11.2</v>
      </c>
      <c r="M409">
        <v>45.1</v>
      </c>
      <c r="N409">
        <v>34.799999999999997</v>
      </c>
    </row>
    <row r="410" spans="1:14" x14ac:dyDescent="0.2">
      <c r="A410" t="s">
        <v>157</v>
      </c>
      <c r="B410">
        <v>132</v>
      </c>
      <c r="C410">
        <v>146</v>
      </c>
      <c r="D410">
        <v>82</v>
      </c>
      <c r="F410">
        <v>1666</v>
      </c>
      <c r="H410">
        <v>2168</v>
      </c>
      <c r="I410">
        <v>1.3</v>
      </c>
      <c r="J410">
        <v>23.1</v>
      </c>
      <c r="L410">
        <v>11.4</v>
      </c>
      <c r="M410">
        <v>46.8</v>
      </c>
      <c r="N410">
        <v>35.9</v>
      </c>
    </row>
    <row r="411" spans="1:14" x14ac:dyDescent="0.2">
      <c r="A411" t="s">
        <v>356</v>
      </c>
      <c r="B411">
        <v>132</v>
      </c>
      <c r="C411">
        <v>147</v>
      </c>
      <c r="D411">
        <v>81</v>
      </c>
      <c r="F411">
        <v>1583</v>
      </c>
      <c r="H411">
        <v>2088</v>
      </c>
      <c r="I411">
        <v>1.32</v>
      </c>
      <c r="J411">
        <v>22</v>
      </c>
      <c r="L411">
        <v>10.8</v>
      </c>
      <c r="M411">
        <v>48.7</v>
      </c>
      <c r="N411">
        <v>36.9</v>
      </c>
    </row>
    <row r="412" spans="1:14" x14ac:dyDescent="0.2">
      <c r="A412" t="s">
        <v>357</v>
      </c>
      <c r="B412">
        <v>133</v>
      </c>
      <c r="C412">
        <v>147</v>
      </c>
      <c r="D412">
        <v>90</v>
      </c>
      <c r="F412">
        <v>1704</v>
      </c>
      <c r="H412">
        <v>2287</v>
      </c>
      <c r="I412">
        <v>1.34</v>
      </c>
      <c r="J412">
        <v>23.6</v>
      </c>
      <c r="L412">
        <v>11.6</v>
      </c>
      <c r="M412">
        <v>50.6</v>
      </c>
      <c r="N412">
        <v>37.700000000000003</v>
      </c>
    </row>
    <row r="413" spans="1:14" x14ac:dyDescent="0.2">
      <c r="A413" t="s">
        <v>158</v>
      </c>
      <c r="B413">
        <v>133</v>
      </c>
      <c r="C413">
        <v>148</v>
      </c>
      <c r="D413">
        <v>82</v>
      </c>
      <c r="F413">
        <v>1573</v>
      </c>
      <c r="H413">
        <v>2145</v>
      </c>
      <c r="I413">
        <v>1.36</v>
      </c>
      <c r="J413">
        <v>21.8</v>
      </c>
      <c r="L413">
        <v>10.6</v>
      </c>
      <c r="M413">
        <v>49.8</v>
      </c>
      <c r="N413">
        <v>36.6</v>
      </c>
    </row>
    <row r="414" spans="1:14" x14ac:dyDescent="0.2">
      <c r="A414" t="s">
        <v>358</v>
      </c>
      <c r="B414">
        <v>134</v>
      </c>
      <c r="C414">
        <v>149</v>
      </c>
      <c r="D414">
        <v>79</v>
      </c>
      <c r="F414">
        <v>1540</v>
      </c>
      <c r="H414">
        <v>2075</v>
      </c>
      <c r="I414">
        <v>1.35</v>
      </c>
      <c r="J414">
        <v>21.4</v>
      </c>
      <c r="L414">
        <v>10.3</v>
      </c>
      <c r="M414">
        <v>48.6</v>
      </c>
      <c r="N414">
        <v>36.1</v>
      </c>
    </row>
    <row r="415" spans="1:14" x14ac:dyDescent="0.2">
      <c r="A415" t="s">
        <v>359</v>
      </c>
      <c r="B415">
        <v>134</v>
      </c>
      <c r="C415">
        <v>149</v>
      </c>
      <c r="D415">
        <v>81</v>
      </c>
      <c r="F415">
        <v>1578</v>
      </c>
      <c r="H415">
        <v>2110</v>
      </c>
      <c r="I415">
        <v>1.34</v>
      </c>
      <c r="J415">
        <v>21.9</v>
      </c>
      <c r="L415">
        <v>10.6</v>
      </c>
      <c r="M415">
        <v>49.1</v>
      </c>
      <c r="N415">
        <v>36.700000000000003</v>
      </c>
    </row>
    <row r="416" spans="1:14" x14ac:dyDescent="0.2">
      <c r="A416" t="s">
        <v>159</v>
      </c>
      <c r="B416">
        <v>134</v>
      </c>
      <c r="C416">
        <v>149</v>
      </c>
      <c r="D416">
        <v>88</v>
      </c>
      <c r="F416">
        <v>1676</v>
      </c>
      <c r="H416">
        <v>2270</v>
      </c>
      <c r="I416">
        <v>1.35</v>
      </c>
      <c r="J416">
        <v>23.2</v>
      </c>
      <c r="L416">
        <v>11.2</v>
      </c>
      <c r="M416">
        <v>50</v>
      </c>
      <c r="N416">
        <v>36.9</v>
      </c>
    </row>
    <row r="417" spans="1:14" x14ac:dyDescent="0.2">
      <c r="A417" t="s">
        <v>360</v>
      </c>
      <c r="B417">
        <v>135</v>
      </c>
      <c r="C417">
        <v>150</v>
      </c>
      <c r="D417">
        <v>78</v>
      </c>
      <c r="F417">
        <v>1554</v>
      </c>
      <c r="H417">
        <v>2095</v>
      </c>
      <c r="I417">
        <v>1.35</v>
      </c>
      <c r="J417">
        <v>21.5</v>
      </c>
      <c r="L417">
        <v>10.4</v>
      </c>
      <c r="M417">
        <v>48</v>
      </c>
      <c r="N417">
        <v>35.6</v>
      </c>
    </row>
    <row r="418" spans="1:14" x14ac:dyDescent="0.2">
      <c r="A418" t="s">
        <v>361</v>
      </c>
      <c r="B418">
        <v>135</v>
      </c>
      <c r="C418">
        <v>150</v>
      </c>
      <c r="D418">
        <v>78</v>
      </c>
      <c r="F418">
        <v>1597</v>
      </c>
      <c r="H418">
        <v>2136</v>
      </c>
      <c r="I418">
        <v>1.34</v>
      </c>
      <c r="J418">
        <v>22.2</v>
      </c>
      <c r="L418">
        <v>10.6</v>
      </c>
      <c r="M418">
        <v>46.6</v>
      </c>
      <c r="N418">
        <v>34.799999999999997</v>
      </c>
    </row>
    <row r="419" spans="1:14" x14ac:dyDescent="0.2">
      <c r="A419" t="s">
        <v>160</v>
      </c>
      <c r="B419">
        <v>136</v>
      </c>
      <c r="C419">
        <v>149</v>
      </c>
      <c r="D419">
        <v>69</v>
      </c>
      <c r="F419">
        <v>1449</v>
      </c>
      <c r="H419">
        <v>1907</v>
      </c>
      <c r="I419">
        <v>1.32</v>
      </c>
      <c r="J419">
        <v>20.100000000000001</v>
      </c>
      <c r="L419">
        <v>9.6999999999999993</v>
      </c>
      <c r="M419">
        <v>45.3</v>
      </c>
      <c r="N419">
        <v>34.4</v>
      </c>
    </row>
    <row r="420" spans="1:14" x14ac:dyDescent="0.2">
      <c r="A420" t="s">
        <v>362</v>
      </c>
      <c r="B420">
        <v>81</v>
      </c>
      <c r="C420">
        <v>149</v>
      </c>
      <c r="D420">
        <v>69</v>
      </c>
      <c r="F420">
        <v>1525</v>
      </c>
      <c r="H420">
        <v>1990</v>
      </c>
      <c r="I420">
        <v>1.3</v>
      </c>
      <c r="J420">
        <v>21.2</v>
      </c>
      <c r="L420">
        <v>10.199999999999999</v>
      </c>
      <c r="M420">
        <v>43.1</v>
      </c>
      <c r="N420">
        <v>33</v>
      </c>
    </row>
    <row r="421" spans="1:14" x14ac:dyDescent="0.2">
      <c r="A421" t="s">
        <v>363</v>
      </c>
      <c r="B421">
        <v>0</v>
      </c>
      <c r="C421">
        <v>146</v>
      </c>
      <c r="D421">
        <v>65</v>
      </c>
      <c r="F421">
        <v>1410</v>
      </c>
      <c r="H421">
        <v>1861</v>
      </c>
      <c r="I421">
        <v>1.32</v>
      </c>
      <c r="J421">
        <v>19.600000000000001</v>
      </c>
      <c r="L421">
        <v>9.6999999999999993</v>
      </c>
      <c r="M421">
        <v>44</v>
      </c>
      <c r="N421">
        <v>33.299999999999997</v>
      </c>
    </row>
    <row r="422" spans="1:14" x14ac:dyDescent="0.2">
      <c r="A422" t="s">
        <v>364</v>
      </c>
      <c r="B422">
        <v>25</v>
      </c>
      <c r="C422">
        <v>144</v>
      </c>
      <c r="D422">
        <v>61</v>
      </c>
      <c r="F422">
        <v>1401</v>
      </c>
      <c r="H422">
        <v>1822</v>
      </c>
      <c r="I422">
        <v>1.3</v>
      </c>
      <c r="J422">
        <v>19.399999999999999</v>
      </c>
      <c r="L422">
        <v>9.6999999999999993</v>
      </c>
      <c r="M422">
        <v>41.6</v>
      </c>
      <c r="N422">
        <v>32</v>
      </c>
    </row>
    <row r="423" spans="1:14" x14ac:dyDescent="0.2">
      <c r="A423" t="s">
        <v>365</v>
      </c>
      <c r="B423">
        <v>25</v>
      </c>
      <c r="C423">
        <v>141</v>
      </c>
      <c r="D423">
        <v>60</v>
      </c>
      <c r="F423">
        <v>1346</v>
      </c>
      <c r="H423">
        <v>1724</v>
      </c>
      <c r="I423">
        <v>1.28</v>
      </c>
      <c r="J423">
        <v>18.7</v>
      </c>
      <c r="L423">
        <v>9.5</v>
      </c>
      <c r="M423">
        <v>42</v>
      </c>
      <c r="N423">
        <v>32.799999999999997</v>
      </c>
    </row>
    <row r="424" spans="1:14" x14ac:dyDescent="0.2">
      <c r="A424" t="s">
        <v>366</v>
      </c>
      <c r="B424">
        <v>25</v>
      </c>
      <c r="C424">
        <v>139</v>
      </c>
      <c r="D424">
        <v>61</v>
      </c>
      <c r="F424">
        <v>1356</v>
      </c>
      <c r="H424">
        <v>1736</v>
      </c>
      <c r="I424">
        <v>1.28</v>
      </c>
      <c r="J424">
        <v>18.8</v>
      </c>
      <c r="L424">
        <v>9.8000000000000007</v>
      </c>
      <c r="M424">
        <v>42.9</v>
      </c>
      <c r="N424">
        <v>33.5</v>
      </c>
    </row>
    <row r="425" spans="1:14" x14ac:dyDescent="0.2">
      <c r="A425" t="s">
        <v>367</v>
      </c>
      <c r="B425">
        <v>25</v>
      </c>
      <c r="C425">
        <v>138</v>
      </c>
      <c r="D425">
        <v>54</v>
      </c>
      <c r="F425">
        <v>1260</v>
      </c>
      <c r="H425">
        <v>1550</v>
      </c>
      <c r="I425">
        <v>1.23</v>
      </c>
      <c r="J425">
        <v>17.5</v>
      </c>
      <c r="L425">
        <v>9.1</v>
      </c>
      <c r="M425">
        <v>40</v>
      </c>
      <c r="N425">
        <v>32.5</v>
      </c>
    </row>
    <row r="426" spans="1:14" x14ac:dyDescent="0.2">
      <c r="A426" t="s">
        <v>368</v>
      </c>
      <c r="B426">
        <v>25</v>
      </c>
      <c r="C426">
        <v>138</v>
      </c>
      <c r="D426">
        <v>53</v>
      </c>
      <c r="F426">
        <v>1156</v>
      </c>
      <c r="H426">
        <v>1550</v>
      </c>
      <c r="I426">
        <v>1.34</v>
      </c>
      <c r="J426">
        <v>16</v>
      </c>
      <c r="L426">
        <v>8.4</v>
      </c>
      <c r="M426">
        <v>44</v>
      </c>
      <c r="N426">
        <v>32.799999999999997</v>
      </c>
    </row>
    <row r="427" spans="1:14" x14ac:dyDescent="0.2">
      <c r="A427" t="s">
        <v>369</v>
      </c>
      <c r="B427">
        <v>25</v>
      </c>
      <c r="C427">
        <v>137</v>
      </c>
      <c r="D427">
        <v>53</v>
      </c>
      <c r="F427">
        <v>1254</v>
      </c>
      <c r="H427">
        <v>1551</v>
      </c>
      <c r="I427">
        <v>1.24</v>
      </c>
      <c r="J427">
        <v>17.399999999999999</v>
      </c>
      <c r="L427">
        <v>9.1999999999999993</v>
      </c>
      <c r="M427">
        <v>39.5</v>
      </c>
      <c r="N427">
        <v>32</v>
      </c>
    </row>
    <row r="428" spans="1:14" x14ac:dyDescent="0.2">
      <c r="A428" t="s">
        <v>164</v>
      </c>
      <c r="B428">
        <v>25</v>
      </c>
      <c r="C428">
        <v>136</v>
      </c>
      <c r="D428">
        <v>61</v>
      </c>
      <c r="F428">
        <v>1380</v>
      </c>
      <c r="H428">
        <v>1753</v>
      </c>
      <c r="I428">
        <v>1.27</v>
      </c>
      <c r="J428">
        <v>19.100000000000001</v>
      </c>
      <c r="L428">
        <v>10.1</v>
      </c>
      <c r="M428">
        <v>41.8</v>
      </c>
      <c r="N428">
        <v>32.9</v>
      </c>
    </row>
    <row r="429" spans="1:14" x14ac:dyDescent="0.2">
      <c r="A429" t="s">
        <v>370</v>
      </c>
      <c r="B429">
        <v>25</v>
      </c>
      <c r="C429">
        <v>136</v>
      </c>
      <c r="D429">
        <v>54</v>
      </c>
      <c r="F429">
        <v>1185</v>
      </c>
      <c r="H429">
        <v>1559</v>
      </c>
      <c r="I429">
        <v>1.32</v>
      </c>
      <c r="J429">
        <v>16.399999999999999</v>
      </c>
      <c r="L429">
        <v>8.6999999999999993</v>
      </c>
      <c r="M429">
        <v>42.9</v>
      </c>
      <c r="N429">
        <v>32.6</v>
      </c>
    </row>
    <row r="430" spans="1:14" x14ac:dyDescent="0.2">
      <c r="A430" t="s">
        <v>165</v>
      </c>
      <c r="B430">
        <v>25</v>
      </c>
      <c r="C430">
        <v>135</v>
      </c>
      <c r="D430">
        <v>45</v>
      </c>
      <c r="F430">
        <v>1032</v>
      </c>
      <c r="H430">
        <v>1366</v>
      </c>
      <c r="I430">
        <v>1.32</v>
      </c>
      <c r="J430">
        <v>14.3</v>
      </c>
      <c r="L430">
        <v>7.6</v>
      </c>
      <c r="M430">
        <v>41.3</v>
      </c>
      <c r="N430">
        <v>31.2</v>
      </c>
    </row>
    <row r="431" spans="1:14" x14ac:dyDescent="0.2">
      <c r="A431" t="s">
        <v>371</v>
      </c>
      <c r="B431">
        <v>25</v>
      </c>
      <c r="C431">
        <v>135</v>
      </c>
      <c r="D431">
        <v>46</v>
      </c>
      <c r="F431">
        <v>956</v>
      </c>
      <c r="H431">
        <v>1272</v>
      </c>
      <c r="I431">
        <v>1.33</v>
      </c>
      <c r="J431">
        <v>13.3</v>
      </c>
      <c r="L431">
        <v>7.1</v>
      </c>
      <c r="M431">
        <v>46</v>
      </c>
      <c r="N431">
        <v>34.6</v>
      </c>
    </row>
    <row r="432" spans="1:14" x14ac:dyDescent="0.2">
      <c r="A432" t="s">
        <v>372</v>
      </c>
      <c r="B432">
        <v>25</v>
      </c>
      <c r="C432">
        <v>134</v>
      </c>
      <c r="D432">
        <v>80</v>
      </c>
      <c r="F432">
        <v>1775</v>
      </c>
      <c r="H432">
        <v>2253</v>
      </c>
      <c r="I432">
        <v>1.27</v>
      </c>
      <c r="J432">
        <v>24.6</v>
      </c>
      <c r="L432">
        <v>13.2</v>
      </c>
      <c r="M432">
        <v>42.5</v>
      </c>
      <c r="N432">
        <v>33.5</v>
      </c>
    </row>
    <row r="433" spans="1:14" x14ac:dyDescent="0.2">
      <c r="A433" t="s">
        <v>373</v>
      </c>
      <c r="B433">
        <v>25</v>
      </c>
      <c r="C433">
        <v>134</v>
      </c>
      <c r="D433">
        <v>69</v>
      </c>
      <c r="F433">
        <v>1378</v>
      </c>
      <c r="H433">
        <v>1858</v>
      </c>
      <c r="I433">
        <v>1.35</v>
      </c>
      <c r="J433">
        <v>19.100000000000001</v>
      </c>
      <c r="L433">
        <v>10.3</v>
      </c>
      <c r="M433">
        <v>47.3</v>
      </c>
      <c r="N433">
        <v>35.1</v>
      </c>
    </row>
    <row r="434" spans="1:14" x14ac:dyDescent="0.2">
      <c r="A434" t="s">
        <v>374</v>
      </c>
      <c r="B434">
        <v>25</v>
      </c>
      <c r="C434">
        <v>134</v>
      </c>
      <c r="D434">
        <v>59</v>
      </c>
      <c r="F434">
        <v>1103</v>
      </c>
      <c r="H434">
        <v>1570</v>
      </c>
      <c r="I434">
        <v>1.42</v>
      </c>
      <c r="J434">
        <v>15.3</v>
      </c>
      <c r="L434">
        <v>8.1999999999999993</v>
      </c>
      <c r="M434">
        <v>50.6</v>
      </c>
      <c r="N434">
        <v>35.5</v>
      </c>
    </row>
    <row r="435" spans="1:14" x14ac:dyDescent="0.2">
      <c r="A435" t="s">
        <v>375</v>
      </c>
      <c r="B435">
        <v>25</v>
      </c>
      <c r="C435">
        <v>134</v>
      </c>
      <c r="D435">
        <v>61</v>
      </c>
      <c r="F435">
        <v>1038</v>
      </c>
      <c r="H435">
        <v>1549</v>
      </c>
      <c r="I435">
        <v>1.49</v>
      </c>
      <c r="J435">
        <v>14.4</v>
      </c>
      <c r="L435">
        <v>7.7</v>
      </c>
      <c r="M435">
        <v>56</v>
      </c>
      <c r="N435">
        <v>37.6</v>
      </c>
    </row>
    <row r="436" spans="1:14" x14ac:dyDescent="0.2">
      <c r="A436" t="s">
        <v>376</v>
      </c>
      <c r="B436">
        <v>25</v>
      </c>
      <c r="C436">
        <v>133</v>
      </c>
      <c r="D436">
        <v>57</v>
      </c>
      <c r="F436">
        <v>1002</v>
      </c>
      <c r="H436">
        <v>1507</v>
      </c>
      <c r="I436">
        <v>1.5</v>
      </c>
      <c r="J436">
        <v>13.9</v>
      </c>
      <c r="L436">
        <v>7.5</v>
      </c>
      <c r="M436">
        <v>54.5</v>
      </c>
      <c r="N436">
        <v>36.200000000000003</v>
      </c>
    </row>
    <row r="437" spans="1:14" x14ac:dyDescent="0.2">
      <c r="A437" t="s">
        <v>168</v>
      </c>
      <c r="B437">
        <v>25</v>
      </c>
      <c r="C437">
        <v>131</v>
      </c>
      <c r="D437">
        <v>60</v>
      </c>
      <c r="F437">
        <v>1014</v>
      </c>
      <c r="H437">
        <v>1563</v>
      </c>
      <c r="I437">
        <v>1.54</v>
      </c>
      <c r="J437">
        <v>14.1</v>
      </c>
      <c r="L437">
        <v>7.7</v>
      </c>
      <c r="M437">
        <v>56.4</v>
      </c>
      <c r="N437">
        <v>36.6</v>
      </c>
    </row>
    <row r="438" spans="1:14" x14ac:dyDescent="0.2">
      <c r="A438" t="s">
        <v>377</v>
      </c>
      <c r="B438">
        <v>25</v>
      </c>
      <c r="C438">
        <v>130</v>
      </c>
      <c r="D438">
        <v>56</v>
      </c>
      <c r="F438">
        <v>954</v>
      </c>
      <c r="H438">
        <v>1468</v>
      </c>
      <c r="I438">
        <v>1.54</v>
      </c>
      <c r="J438">
        <v>13.2</v>
      </c>
      <c r="L438">
        <v>7.3</v>
      </c>
      <c r="M438">
        <v>55.6</v>
      </c>
      <c r="N438">
        <v>36.1</v>
      </c>
    </row>
    <row r="439" spans="1:14" x14ac:dyDescent="0.2">
      <c r="A439" t="s">
        <v>169</v>
      </c>
      <c r="B439">
        <v>25</v>
      </c>
      <c r="C439">
        <v>129</v>
      </c>
      <c r="D439">
        <v>52</v>
      </c>
      <c r="F439">
        <v>891</v>
      </c>
      <c r="H439">
        <v>1381</v>
      </c>
      <c r="I439">
        <v>1.55</v>
      </c>
      <c r="J439">
        <v>12.4</v>
      </c>
      <c r="L439">
        <v>6.9</v>
      </c>
      <c r="M439">
        <v>55.7</v>
      </c>
      <c r="N439">
        <v>35.9</v>
      </c>
    </row>
    <row r="440" spans="1:14" x14ac:dyDescent="0.2">
      <c r="A440" t="s">
        <v>378</v>
      </c>
      <c r="B440">
        <v>25</v>
      </c>
      <c r="C440">
        <v>127</v>
      </c>
      <c r="D440">
        <v>41</v>
      </c>
      <c r="F440">
        <v>762</v>
      </c>
      <c r="H440">
        <v>1155</v>
      </c>
      <c r="I440">
        <v>1.52</v>
      </c>
      <c r="J440">
        <v>10.6</v>
      </c>
      <c r="L440">
        <v>6</v>
      </c>
      <c r="M440">
        <v>50.4</v>
      </c>
      <c r="N440">
        <v>33.299999999999997</v>
      </c>
    </row>
    <row r="441" spans="1:14" x14ac:dyDescent="0.2">
      <c r="A441" t="s">
        <v>379</v>
      </c>
      <c r="B441">
        <v>25</v>
      </c>
      <c r="C441">
        <v>127</v>
      </c>
      <c r="D441">
        <v>58</v>
      </c>
      <c r="F441">
        <v>1026</v>
      </c>
      <c r="H441">
        <v>1556</v>
      </c>
      <c r="I441">
        <v>1.52</v>
      </c>
      <c r="J441">
        <v>14.2</v>
      </c>
      <c r="L441">
        <v>8.1</v>
      </c>
      <c r="M441">
        <v>54.4</v>
      </c>
      <c r="N441">
        <v>35.799999999999997</v>
      </c>
    </row>
    <row r="442" spans="1:14" x14ac:dyDescent="0.2">
      <c r="A442" t="s">
        <v>380</v>
      </c>
      <c r="B442">
        <v>25</v>
      </c>
      <c r="C442">
        <v>126</v>
      </c>
      <c r="D442">
        <v>57</v>
      </c>
      <c r="F442">
        <v>937</v>
      </c>
      <c r="H442">
        <v>1459</v>
      </c>
      <c r="I442">
        <v>1.56</v>
      </c>
      <c r="J442">
        <v>13</v>
      </c>
      <c r="L442">
        <v>7.4</v>
      </c>
      <c r="M442">
        <v>58.7</v>
      </c>
      <c r="N442">
        <v>37.700000000000003</v>
      </c>
    </row>
    <row r="443" spans="1:14" x14ac:dyDescent="0.2">
      <c r="A443" t="s">
        <v>381</v>
      </c>
      <c r="B443">
        <v>25</v>
      </c>
      <c r="C443">
        <v>125</v>
      </c>
      <c r="D443">
        <v>54</v>
      </c>
      <c r="F443">
        <v>871</v>
      </c>
      <c r="H443">
        <v>1352</v>
      </c>
      <c r="I443">
        <v>1.55</v>
      </c>
      <c r="J443">
        <v>12.1</v>
      </c>
      <c r="L443">
        <v>7</v>
      </c>
      <c r="M443">
        <v>58.8</v>
      </c>
      <c r="N443">
        <v>37.9</v>
      </c>
    </row>
    <row r="444" spans="1:14" x14ac:dyDescent="0.2">
      <c r="A444" t="s">
        <v>382</v>
      </c>
      <c r="B444">
        <v>25</v>
      </c>
      <c r="C444">
        <v>125</v>
      </c>
      <c r="D444">
        <v>54</v>
      </c>
      <c r="F444">
        <v>921</v>
      </c>
      <c r="H444">
        <v>1392</v>
      </c>
      <c r="I444">
        <v>1.51</v>
      </c>
      <c r="J444">
        <v>12.8</v>
      </c>
      <c r="L444">
        <v>7.4</v>
      </c>
      <c r="M444">
        <v>56.2</v>
      </c>
      <c r="N444">
        <v>37.1</v>
      </c>
    </row>
    <row r="445" spans="1:14" x14ac:dyDescent="0.2">
      <c r="A445" t="s">
        <v>383</v>
      </c>
      <c r="B445">
        <v>25</v>
      </c>
      <c r="C445">
        <v>125</v>
      </c>
      <c r="D445">
        <v>56</v>
      </c>
      <c r="F445">
        <v>925</v>
      </c>
      <c r="H445">
        <v>1385</v>
      </c>
      <c r="I445">
        <v>1.5</v>
      </c>
      <c r="J445">
        <v>12.8</v>
      </c>
      <c r="L445">
        <v>7.4</v>
      </c>
      <c r="M445">
        <v>57.3</v>
      </c>
      <c r="N445">
        <v>38.299999999999997</v>
      </c>
    </row>
    <row r="446" spans="1:14" x14ac:dyDescent="0.2">
      <c r="A446" t="s">
        <v>384</v>
      </c>
      <c r="B446">
        <v>25</v>
      </c>
      <c r="C446">
        <v>124</v>
      </c>
      <c r="D446">
        <v>52</v>
      </c>
      <c r="F446">
        <v>847</v>
      </c>
      <c r="H446">
        <v>1290</v>
      </c>
      <c r="I446">
        <v>1.52</v>
      </c>
      <c r="J446">
        <v>11.8</v>
      </c>
      <c r="L446">
        <v>6.8</v>
      </c>
      <c r="M446">
        <v>58.1</v>
      </c>
      <c r="N446">
        <v>38.1</v>
      </c>
    </row>
    <row r="447" spans="1:14" x14ac:dyDescent="0.2">
      <c r="A447" t="s">
        <v>385</v>
      </c>
      <c r="B447">
        <v>25</v>
      </c>
      <c r="C447">
        <v>123</v>
      </c>
      <c r="D447">
        <v>43</v>
      </c>
      <c r="F447">
        <v>745</v>
      </c>
      <c r="H447">
        <v>1118</v>
      </c>
      <c r="I447">
        <v>1.5</v>
      </c>
      <c r="J447">
        <v>10.3</v>
      </c>
      <c r="L447">
        <v>6.1</v>
      </c>
      <c r="M447">
        <v>54.9</v>
      </c>
      <c r="N447">
        <v>36.6</v>
      </c>
    </row>
    <row r="448" spans="1:14" x14ac:dyDescent="0.2">
      <c r="A448" t="s">
        <v>386</v>
      </c>
      <c r="B448">
        <v>25</v>
      </c>
      <c r="C448">
        <v>122</v>
      </c>
      <c r="D448">
        <v>9</v>
      </c>
      <c r="F448">
        <v>39</v>
      </c>
      <c r="H448">
        <v>52</v>
      </c>
      <c r="I448">
        <v>1.33</v>
      </c>
      <c r="J448">
        <v>0.5</v>
      </c>
      <c r="L448">
        <v>0.3</v>
      </c>
      <c r="M448">
        <v>152.19999999999999</v>
      </c>
      <c r="N448">
        <v>114.1</v>
      </c>
    </row>
    <row r="449" spans="1:14" x14ac:dyDescent="0.2">
      <c r="A449" t="s">
        <v>175</v>
      </c>
      <c r="B449">
        <v>25</v>
      </c>
      <c r="C449">
        <v>122</v>
      </c>
      <c r="D449">
        <v>46</v>
      </c>
      <c r="F449">
        <v>1044</v>
      </c>
      <c r="H449">
        <v>1407</v>
      </c>
      <c r="I449">
        <v>1.35</v>
      </c>
      <c r="J449">
        <v>14.5</v>
      </c>
      <c r="L449">
        <v>8.6</v>
      </c>
      <c r="M449">
        <v>42.6</v>
      </c>
      <c r="N449">
        <v>31.6</v>
      </c>
    </row>
    <row r="450" spans="1:14" x14ac:dyDescent="0.2">
      <c r="A450" t="s">
        <v>387</v>
      </c>
      <c r="B450">
        <v>25</v>
      </c>
      <c r="C450">
        <v>121</v>
      </c>
      <c r="D450">
        <v>47</v>
      </c>
      <c r="F450">
        <v>931</v>
      </c>
      <c r="H450">
        <v>1236</v>
      </c>
      <c r="I450">
        <v>1.33</v>
      </c>
      <c r="J450">
        <v>12.9</v>
      </c>
      <c r="L450">
        <v>7.7</v>
      </c>
      <c r="M450">
        <v>48.2</v>
      </c>
      <c r="N450">
        <v>36.299999999999997</v>
      </c>
    </row>
    <row r="451" spans="1:14" x14ac:dyDescent="0.2">
      <c r="A451" t="s">
        <v>176</v>
      </c>
      <c r="B451">
        <v>25</v>
      </c>
      <c r="C451">
        <v>121</v>
      </c>
      <c r="D451">
        <v>53</v>
      </c>
      <c r="F451">
        <v>1017</v>
      </c>
      <c r="H451">
        <v>1394</v>
      </c>
      <c r="I451">
        <v>1.37</v>
      </c>
      <c r="J451">
        <v>14.1</v>
      </c>
      <c r="L451">
        <v>8.4</v>
      </c>
      <c r="M451">
        <v>50.2</v>
      </c>
      <c r="N451">
        <v>36.6</v>
      </c>
    </row>
    <row r="452" spans="1:14" x14ac:dyDescent="0.2">
      <c r="A452" t="s">
        <v>388</v>
      </c>
      <c r="B452">
        <v>25</v>
      </c>
      <c r="C452">
        <v>120</v>
      </c>
      <c r="D452">
        <v>52</v>
      </c>
      <c r="F452">
        <v>923</v>
      </c>
      <c r="H452">
        <v>1286</v>
      </c>
      <c r="I452">
        <v>1.39</v>
      </c>
      <c r="J452">
        <v>12.8</v>
      </c>
      <c r="L452">
        <v>7.7</v>
      </c>
      <c r="M452">
        <v>53.5</v>
      </c>
      <c r="N452">
        <v>38.4</v>
      </c>
    </row>
    <row r="453" spans="1:14" x14ac:dyDescent="0.2">
      <c r="A453" t="s">
        <v>389</v>
      </c>
      <c r="B453">
        <v>25</v>
      </c>
      <c r="C453">
        <v>120</v>
      </c>
      <c r="D453">
        <v>52</v>
      </c>
      <c r="F453">
        <v>837</v>
      </c>
      <c r="H453">
        <v>1271</v>
      </c>
      <c r="I453">
        <v>1.52</v>
      </c>
      <c r="J453">
        <v>11.6</v>
      </c>
      <c r="L453">
        <v>7</v>
      </c>
      <c r="M453">
        <v>59.8</v>
      </c>
      <c r="N453">
        <v>39.4</v>
      </c>
    </row>
    <row r="454" spans="1:14" x14ac:dyDescent="0.2">
      <c r="A454" t="s">
        <v>390</v>
      </c>
      <c r="B454">
        <v>25</v>
      </c>
      <c r="C454">
        <v>120</v>
      </c>
      <c r="D454">
        <v>52</v>
      </c>
      <c r="F454">
        <v>809</v>
      </c>
      <c r="H454">
        <v>1218</v>
      </c>
      <c r="I454">
        <v>1.51</v>
      </c>
      <c r="J454">
        <v>11.2</v>
      </c>
      <c r="L454">
        <v>6.7</v>
      </c>
      <c r="M454">
        <v>61.5</v>
      </c>
      <c r="N454">
        <v>40.9</v>
      </c>
    </row>
    <row r="455" spans="1:14" x14ac:dyDescent="0.2">
      <c r="A455" t="s">
        <v>391</v>
      </c>
      <c r="B455">
        <v>25</v>
      </c>
      <c r="C455">
        <v>119</v>
      </c>
      <c r="D455">
        <v>46</v>
      </c>
      <c r="F455">
        <v>718</v>
      </c>
      <c r="H455">
        <v>1076</v>
      </c>
      <c r="I455">
        <v>1.5</v>
      </c>
      <c r="J455">
        <v>10</v>
      </c>
      <c r="L455">
        <v>6</v>
      </c>
      <c r="M455">
        <v>60.2</v>
      </c>
      <c r="N455">
        <v>40.200000000000003</v>
      </c>
    </row>
    <row r="456" spans="1:14" x14ac:dyDescent="0.2">
      <c r="A456" t="s">
        <v>179</v>
      </c>
      <c r="B456">
        <v>25</v>
      </c>
      <c r="C456">
        <v>117</v>
      </c>
      <c r="D456">
        <v>47</v>
      </c>
      <c r="F456">
        <v>799</v>
      </c>
      <c r="H456">
        <v>1178</v>
      </c>
      <c r="I456">
        <v>1.47</v>
      </c>
      <c r="J456">
        <v>11.1</v>
      </c>
      <c r="L456">
        <v>6.8</v>
      </c>
      <c r="M456">
        <v>55.8</v>
      </c>
      <c r="N456">
        <v>37.799999999999997</v>
      </c>
    </row>
    <row r="457" spans="1:14" x14ac:dyDescent="0.2">
      <c r="A457" t="s">
        <v>392</v>
      </c>
      <c r="B457">
        <v>25</v>
      </c>
      <c r="C457">
        <v>117</v>
      </c>
      <c r="D457">
        <v>44</v>
      </c>
      <c r="F457">
        <v>729</v>
      </c>
      <c r="H457">
        <v>1080</v>
      </c>
      <c r="I457">
        <v>1.48</v>
      </c>
      <c r="J457">
        <v>10.1</v>
      </c>
      <c r="L457">
        <v>6.2</v>
      </c>
      <c r="M457">
        <v>57.2</v>
      </c>
      <c r="N457">
        <v>38.6</v>
      </c>
    </row>
    <row r="458" spans="1:14" x14ac:dyDescent="0.2">
      <c r="A458" t="s">
        <v>393</v>
      </c>
      <c r="B458">
        <v>25</v>
      </c>
      <c r="C458">
        <v>116</v>
      </c>
      <c r="D458">
        <v>41</v>
      </c>
      <c r="F458">
        <v>747</v>
      </c>
      <c r="H458">
        <v>1073</v>
      </c>
      <c r="I458">
        <v>1.44</v>
      </c>
      <c r="J458">
        <v>10.4</v>
      </c>
      <c r="L458">
        <v>6.4</v>
      </c>
      <c r="M458">
        <v>52.4</v>
      </c>
      <c r="N458">
        <v>36.5</v>
      </c>
    </row>
    <row r="459" spans="1:14" x14ac:dyDescent="0.2">
      <c r="A459" t="s">
        <v>394</v>
      </c>
      <c r="B459">
        <v>25</v>
      </c>
      <c r="C459">
        <v>115</v>
      </c>
      <c r="D459">
        <v>46</v>
      </c>
      <c r="F459">
        <v>847</v>
      </c>
      <c r="H459">
        <v>1144</v>
      </c>
      <c r="I459">
        <v>1.35</v>
      </c>
      <c r="J459">
        <v>11.7</v>
      </c>
      <c r="L459">
        <v>7.4</v>
      </c>
      <c r="M459">
        <v>50.5</v>
      </c>
      <c r="N459">
        <v>37.4</v>
      </c>
    </row>
    <row r="460" spans="1:14" x14ac:dyDescent="0.2">
      <c r="A460" t="s">
        <v>395</v>
      </c>
      <c r="B460">
        <v>25</v>
      </c>
      <c r="C460">
        <v>115</v>
      </c>
      <c r="D460">
        <v>46</v>
      </c>
      <c r="F460">
        <v>817</v>
      </c>
      <c r="H460">
        <v>1104</v>
      </c>
      <c r="I460">
        <v>1.35</v>
      </c>
      <c r="J460">
        <v>11.3</v>
      </c>
      <c r="L460">
        <v>7.1</v>
      </c>
      <c r="M460">
        <v>53.3</v>
      </c>
      <c r="N460">
        <v>39.4</v>
      </c>
    </row>
    <row r="461" spans="1:14" x14ac:dyDescent="0.2">
      <c r="A461" t="s">
        <v>396</v>
      </c>
      <c r="B461">
        <v>25</v>
      </c>
      <c r="C461">
        <v>115</v>
      </c>
      <c r="D461">
        <v>41</v>
      </c>
      <c r="F461">
        <v>711</v>
      </c>
      <c r="H461">
        <v>982</v>
      </c>
      <c r="I461">
        <v>1.38</v>
      </c>
      <c r="J461">
        <v>9.9</v>
      </c>
      <c r="L461">
        <v>6.2</v>
      </c>
      <c r="M461">
        <v>53.7</v>
      </c>
      <c r="N461">
        <v>38.9</v>
      </c>
    </row>
    <row r="462" spans="1:14" x14ac:dyDescent="0.2">
      <c r="A462" t="s">
        <v>397</v>
      </c>
      <c r="B462">
        <v>25</v>
      </c>
      <c r="C462">
        <v>114</v>
      </c>
      <c r="D462">
        <v>27</v>
      </c>
      <c r="F462">
        <v>611</v>
      </c>
      <c r="H462">
        <v>798</v>
      </c>
      <c r="I462">
        <v>1.31</v>
      </c>
      <c r="J462">
        <v>8.5</v>
      </c>
      <c r="L462">
        <v>5.4</v>
      </c>
      <c r="M462">
        <v>41.7</v>
      </c>
      <c r="N462">
        <v>32</v>
      </c>
    </row>
    <row r="463" spans="1:14" x14ac:dyDescent="0.2">
      <c r="A463" t="s">
        <v>183</v>
      </c>
      <c r="B463">
        <v>25</v>
      </c>
      <c r="C463">
        <v>113</v>
      </c>
      <c r="D463">
        <v>41</v>
      </c>
      <c r="F463">
        <v>811</v>
      </c>
      <c r="H463">
        <v>1039</v>
      </c>
      <c r="I463">
        <v>1.28</v>
      </c>
      <c r="J463">
        <v>11.2</v>
      </c>
      <c r="L463">
        <v>7.2</v>
      </c>
      <c r="M463">
        <v>48</v>
      </c>
      <c r="N463">
        <v>37.4</v>
      </c>
    </row>
    <row r="464" spans="1:14" x14ac:dyDescent="0.2">
      <c r="A464" t="s">
        <v>398</v>
      </c>
      <c r="B464">
        <v>25</v>
      </c>
      <c r="C464">
        <v>112</v>
      </c>
      <c r="D464">
        <v>40</v>
      </c>
      <c r="F464">
        <v>735</v>
      </c>
      <c r="H464">
        <v>992</v>
      </c>
      <c r="I464">
        <v>1.35</v>
      </c>
      <c r="J464">
        <v>10.199999999999999</v>
      </c>
      <c r="L464">
        <v>6.6</v>
      </c>
      <c r="M464">
        <v>52</v>
      </c>
      <c r="N464">
        <v>38.6</v>
      </c>
    </row>
    <row r="465" spans="1:14" x14ac:dyDescent="0.2">
      <c r="A465" t="s">
        <v>399</v>
      </c>
      <c r="B465">
        <v>0</v>
      </c>
      <c r="C465">
        <v>112</v>
      </c>
      <c r="D465">
        <v>6</v>
      </c>
      <c r="F465">
        <v>39</v>
      </c>
      <c r="H465">
        <v>53</v>
      </c>
      <c r="I465">
        <v>1.37</v>
      </c>
      <c r="J465">
        <v>0.5</v>
      </c>
      <c r="L465">
        <v>0.3</v>
      </c>
      <c r="M465">
        <v>97.2</v>
      </c>
      <c r="N465">
        <v>71.099999999999994</v>
      </c>
    </row>
    <row r="466" spans="1:14" x14ac:dyDescent="0.2">
      <c r="A466" t="s">
        <v>185</v>
      </c>
      <c r="B466">
        <v>0</v>
      </c>
      <c r="C466">
        <v>112</v>
      </c>
      <c r="D466">
        <v>38</v>
      </c>
      <c r="F466">
        <v>869</v>
      </c>
      <c r="H466">
        <v>1054</v>
      </c>
      <c r="I466">
        <v>1.21</v>
      </c>
      <c r="J466">
        <v>12.1</v>
      </c>
      <c r="L466">
        <v>7.8</v>
      </c>
      <c r="M466">
        <v>41.8</v>
      </c>
      <c r="N466">
        <v>34.5</v>
      </c>
    </row>
    <row r="467" spans="1:14" x14ac:dyDescent="0.2">
      <c r="A467" t="s">
        <v>400</v>
      </c>
      <c r="B467">
        <v>0</v>
      </c>
      <c r="C467">
        <v>105</v>
      </c>
    </row>
    <row r="468" spans="1:14" x14ac:dyDescent="0.2">
      <c r="A468" t="s">
        <v>401</v>
      </c>
      <c r="B468">
        <v>0</v>
      </c>
      <c r="C468">
        <v>103</v>
      </c>
    </row>
    <row r="469" spans="1:14" x14ac:dyDescent="0.2">
      <c r="A469" t="s">
        <v>402</v>
      </c>
      <c r="B469">
        <v>0</v>
      </c>
      <c r="C469">
        <v>100</v>
      </c>
    </row>
    <row r="470" spans="1:14" x14ac:dyDescent="0.2">
      <c r="A470" t="s">
        <v>403</v>
      </c>
      <c r="B470">
        <v>0</v>
      </c>
      <c r="C470">
        <v>103</v>
      </c>
    </row>
    <row r="471" spans="1:14" x14ac:dyDescent="0.2">
      <c r="A471" t="s">
        <v>404</v>
      </c>
      <c r="B471">
        <v>0</v>
      </c>
      <c r="C471">
        <v>97</v>
      </c>
    </row>
    <row r="472" spans="1:14" x14ac:dyDescent="0.2">
      <c r="A472" t="s">
        <v>192</v>
      </c>
      <c r="B472">
        <v>0</v>
      </c>
      <c r="C472">
        <v>97</v>
      </c>
    </row>
    <row r="473" spans="1:14" x14ac:dyDescent="0.2">
      <c r="A473" t="s">
        <v>405</v>
      </c>
      <c r="B473">
        <v>0</v>
      </c>
      <c r="C473">
        <v>96</v>
      </c>
    </row>
    <row r="474" spans="1:14" x14ac:dyDescent="0.2">
      <c r="A474" t="s">
        <v>406</v>
      </c>
      <c r="B474">
        <v>0</v>
      </c>
      <c r="C474">
        <v>90</v>
      </c>
    </row>
    <row r="475" spans="1:14" x14ac:dyDescent="0.2">
      <c r="A475" t="s">
        <v>407</v>
      </c>
      <c r="B475">
        <v>0</v>
      </c>
      <c r="C475">
        <v>84</v>
      </c>
    </row>
    <row r="476" spans="1:14" x14ac:dyDescent="0.2">
      <c r="A476" t="s">
        <v>408</v>
      </c>
      <c r="B476">
        <v>0</v>
      </c>
      <c r="C476">
        <v>84</v>
      </c>
    </row>
    <row r="477" spans="1:14" x14ac:dyDescent="0.2">
      <c r="A477" t="s">
        <v>409</v>
      </c>
      <c r="B477">
        <v>0</v>
      </c>
      <c r="C477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FRIENDS_009_CPET_Files_ANALYSED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2026-05-21T03:50:30Z</dcterms:created>
  <dcterms:modified xsi:type="dcterms:W3CDTF">2026-05-21T03:58:54Z</dcterms:modified>
</cp:coreProperties>
</file>